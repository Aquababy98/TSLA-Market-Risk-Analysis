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4d8f6303b5fa1879/Documents/TSLA-Market-Risk-Analysis/"/>
    </mc:Choice>
  </mc:AlternateContent>
  <xr:revisionPtr revIDLastSave="960" documentId="8_{BDAD21CB-0B62-4729-B66B-16A963C9C4A1}" xr6:coauthVersionLast="47" xr6:coauthVersionMax="47" xr10:uidLastSave="{ED65B176-D317-4726-B3A1-6F2344D43C70}"/>
  <bookViews>
    <workbookView xWindow="-110" yWindow="-110" windowWidth="19420" windowHeight="10300" activeTab="3" xr2:uid="{00000000-000D-0000-FFFF-FFFF00000000}"/>
  </bookViews>
  <sheets>
    <sheet name="30-day data" sheetId="1" r:id="rId1"/>
    <sheet name="fiveday data " sheetId="2" r:id="rId2"/>
    <sheet name="5-day_data_analysis" sheetId="8" r:id="rId3"/>
    <sheet name="Master_data" sheetId="9" r:id="rId4"/>
    <sheet name="Master_data_analysis" sheetId="10" r:id="rId5"/>
    <sheet name="Dashboard" sheetId="5" r:id="rId6"/>
  </sheets>
  <definedNames>
    <definedName name="Slicer_View">#N/A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6" i="2"/>
</calcChain>
</file>

<file path=xl/sharedStrings.xml><?xml version="1.0" encoding="utf-8"?>
<sst xmlns="http://schemas.openxmlformats.org/spreadsheetml/2006/main" count="564" uniqueCount="33">
  <si>
    <t>Datetime</t>
  </si>
  <si>
    <t>Close</t>
  </si>
  <si>
    <t>High</t>
  </si>
  <si>
    <t>Low</t>
  </si>
  <si>
    <t>Open</t>
  </si>
  <si>
    <t>Volume</t>
  </si>
  <si>
    <t>Normal_Price</t>
  </si>
  <si>
    <t>Risk_Status</t>
  </si>
  <si>
    <t>Cushion_Pct</t>
  </si>
  <si>
    <t>Initializing...</t>
  </si>
  <si>
    <t>Moderate Risk</t>
  </si>
  <si>
    <t>High Risk</t>
  </si>
  <si>
    <t>Low Risk</t>
  </si>
  <si>
    <t>CONTEXT NOTE: Current Volatility (1.72) is 38% below the 5-day average (2.81), indicating that while price is in the Danger Zone, the descent is currently stabilized.</t>
  </si>
  <si>
    <t>Hourly Volatility</t>
  </si>
  <si>
    <t>Row Labels</t>
  </si>
  <si>
    <t>Grand Total</t>
  </si>
  <si>
    <t>2-Mar</t>
  </si>
  <si>
    <t>3-Mar</t>
  </si>
  <si>
    <t>4-Mar</t>
  </si>
  <si>
    <t>5-Mar</t>
  </si>
  <si>
    <t>6-Mar</t>
  </si>
  <si>
    <t>Average of Cushion_Pct</t>
  </si>
  <si>
    <t>Threshold</t>
  </si>
  <si>
    <t>Average of Threshold</t>
  </si>
  <si>
    <t>Avg. Volatlity</t>
  </si>
  <si>
    <t>Average of Hourly Volatility</t>
  </si>
  <si>
    <t>Average of Avg. Volatlity</t>
  </si>
  <si>
    <t>Count of Risk_Status</t>
  </si>
  <si>
    <t>View</t>
  </si>
  <si>
    <t>30 day</t>
  </si>
  <si>
    <t>5 day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</si>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</sst>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0.00"/>
    <numFmt numFmtId="166" formatCode="0.0%"/>
  </numFmts>
  <fonts count="8" x14ac:knownFonts="1">
    <font>
      <sz val="11"/>
      <color theme="1"/>
      <name val="Century Gothic"/>
      <family val="2"/>
      <scheme val="minor"/>
    </font>
    <font>
      <sz val="11"/>
      <color theme="1"/>
      <name val="Century Gothic"/>
      <family val="2"/>
      <scheme val="minor"/>
    </font>
    <font>
      <b/>
      <sz val="20"/>
      <color theme="1"/>
      <name val="Century Gothic"/>
      <family val="2"/>
      <scheme val="minor"/>
    </font>
    <font>
      <sz val="14"/>
      <color theme="1"/>
      <name val="Century Gothic"/>
      <family val="2"/>
      <scheme val="minor"/>
    </font>
    <font>
      <b/>
      <sz val="14"/>
      <color theme="1"/>
      <name val="Century Gothic"/>
      <family val="2"/>
      <scheme val="minor"/>
    </font>
    <font>
      <b/>
      <sz val="11"/>
      <color theme="1"/>
      <name val="Century Gothic"/>
      <family val="2"/>
      <scheme val="minor"/>
    </font>
    <font>
      <sz val="11"/>
      <color theme="5"/>
      <name val="Century Gothic"/>
      <family val="2"/>
      <scheme val="minor"/>
    </font>
    <font>
      <sz val="8"/>
      <name val="Century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164" fontId="0" fillId="0" borderId="0" xfId="0" applyNumberFormat="1"/>
    <xf numFmtId="9" fontId="0" fillId="0" borderId="0" xfId="1" applyFont="1"/>
    <xf numFmtId="0" fontId="3" fillId="0" borderId="0" xfId="0" applyFont="1" applyAlignment="1">
      <alignment horizontal="center"/>
    </xf>
    <xf numFmtId="165" fontId="3" fillId="0" borderId="0" xfId="0" applyNumberFormat="1" applyFont="1" applyAlignment="1">
      <alignment horizontal="center"/>
    </xf>
    <xf numFmtId="0" fontId="5" fillId="0" borderId="0" xfId="0" applyFont="1"/>
    <xf numFmtId="10" fontId="0" fillId="0" borderId="0" xfId="1" applyNumberFormat="1" applyFont="1"/>
    <xf numFmtId="2" fontId="0" fillId="0" borderId="0" xfId="0" applyNumberFormat="1"/>
    <xf numFmtId="0" fontId="0" fillId="0" borderId="0" xfId="0" pivotButton="1"/>
    <xf numFmtId="0" fontId="0" fillId="0" borderId="0" xfId="0" applyAlignment="1">
      <alignment horizontal="left"/>
    </xf>
    <xf numFmtId="0" fontId="6" fillId="0" borderId="0" xfId="0" applyFont="1"/>
    <xf numFmtId="10" fontId="0" fillId="0" borderId="0" xfId="1" applyNumberFormat="1" applyFont="1" applyBorder="1"/>
    <xf numFmtId="10" fontId="0" fillId="0" borderId="0" xfId="0" applyNumberFormat="1"/>
    <xf numFmtId="166" fontId="0" fillId="0" borderId="0" xfId="1" applyNumberFormat="1" applyFont="1"/>
    <xf numFmtId="0" fontId="2" fillId="0" borderId="0" xfId="0" applyFont="1" applyAlignment="1">
      <alignment horizontal="center"/>
    </xf>
    <xf numFmtId="0" fontId="0" fillId="0" borderId="0" xfId="0" applyAlignment="1">
      <alignment horizontal="center" wrapText="1"/>
    </xf>
    <xf numFmtId="0" fontId="4" fillId="0" borderId="0" xfId="0" applyFont="1" applyAlignment="1">
      <alignment horizontal="center"/>
    </xf>
    <xf numFmtId="10" fontId="3" fillId="0" borderId="0" xfId="1" applyNumberFormat="1" applyFont="1" applyFill="1" applyAlignment="1">
      <alignment horizontal="center"/>
    </xf>
    <xf numFmtId="0" fontId="3" fillId="0" borderId="0" xfId="0" applyFont="1" applyAlignment="1">
      <alignment horizontal="center"/>
    </xf>
    <xf numFmtId="165" fontId="3" fillId="0" borderId="0" xfId="0" applyNumberFormat="1" applyFont="1" applyAlignment="1">
      <alignment horizontal="center"/>
    </xf>
  </cellXfs>
  <cellStyles count="2">
    <cellStyle name="Normal" xfId="0" builtinId="0"/>
    <cellStyle name="Percent" xfId="1" builtinId="5"/>
  </cellStyles>
  <dxfs count="3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2" formatCode="0.00"/>
    </dxf>
    <dxf>
      <numFmt numFmtId="2" formatCode="0.00"/>
    </dxf>
    <dxf>
      <numFmt numFmtId="2" formatCode="0.00"/>
    </dxf>
    <dxf>
      <numFmt numFmtId="2" formatCode="0.00"/>
    </dxf>
    <dxf>
      <numFmt numFmtId="164" formatCode="yyyy\-mm\-dd\ hh:mm:ss"/>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164" formatCode="yyyy\-mm\-dd\ hh:mm:ss"/>
    </dxf>
    <dxf>
      <numFmt numFmtId="2" formatCode="0.00"/>
    </dxf>
    <dxf>
      <numFmt numFmtId="2" formatCode="0.00"/>
    </dxf>
    <dxf>
      <numFmt numFmtId="2" formatCode="0.00"/>
    </dxf>
    <dxf>
      <numFmt numFmtId="2" formatCode="0.00"/>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[Market_Risk_Report_TSLA_20260307_0943.xlsx]5-day_data_analysis!PivotTable1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Safety Cushion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'5-day_data_analysis'!$B$3</c:f>
              <c:strCache>
                <c:ptCount val="1"/>
                <c:pt idx="0">
                  <c:v>Average of Cushion_Pct</c:v>
                </c:pt>
              </c:strCache>
            </c:strRef>
          </c:tx>
          <c:spPr>
            <a:ln w="28575" cap="rnd">
              <a:solidFill>
                <a:schemeClr val="accent1"/>
              </a:solidFill>
              <a:round/>
            </a:ln>
            <a:effectLst/>
          </c:spPr>
          <c:marker>
            <c:symbol val="none"/>
          </c:marker>
          <c:cat>
            <c:strRef>
              <c:f>'5-day_data_analysis'!$A$4:$A$9</c:f>
              <c:strCache>
                <c:ptCount val="5"/>
                <c:pt idx="0">
                  <c:v>2-Mar</c:v>
                </c:pt>
                <c:pt idx="1">
                  <c:v>3-Mar</c:v>
                </c:pt>
                <c:pt idx="2">
                  <c:v>4-Mar</c:v>
                </c:pt>
                <c:pt idx="3">
                  <c:v>5-Mar</c:v>
                </c:pt>
                <c:pt idx="4">
                  <c:v>6-Mar</c:v>
                </c:pt>
              </c:strCache>
            </c:strRef>
          </c:cat>
          <c:val>
            <c:numRef>
              <c:f>'5-day_data_analysis'!$B$4:$B$9</c:f>
              <c:numCache>
                <c:formatCode>0.00%</c:formatCode>
                <c:ptCount val="5"/>
                <c:pt idx="0">
                  <c:v>9.1175233211578301E-3</c:v>
                </c:pt>
                <c:pt idx="1">
                  <c:v>1.3442945154973591E-2</c:v>
                </c:pt>
                <c:pt idx="2">
                  <c:v>3.0507886813090884E-2</c:v>
                </c:pt>
                <c:pt idx="3">
                  <c:v>1.8367609667218371E-2</c:v>
                </c:pt>
                <c:pt idx="4">
                  <c:v>1.6256484521747664E-2</c:v>
                </c:pt>
              </c:numCache>
            </c:numRef>
          </c:val>
          <c:smooth val="0"/>
          <c:extLst>
            <c:ext xmlns:c16="http://schemas.microsoft.com/office/drawing/2014/chart" uri="{C3380CC4-5D6E-409C-BE32-E72D297353CC}">
              <c16:uniqueId val="{00000000-655B-44D9-870A-C9C8A619E7EC}"/>
            </c:ext>
          </c:extLst>
        </c:ser>
        <c:ser>
          <c:idx val="1"/>
          <c:order val="1"/>
          <c:tx>
            <c:strRef>
              <c:f>'5-day_data_analysis'!$C$3</c:f>
              <c:strCache>
                <c:ptCount val="1"/>
                <c:pt idx="0">
                  <c:v>Average of Threshold</c:v>
                </c:pt>
              </c:strCache>
            </c:strRef>
          </c:tx>
          <c:spPr>
            <a:ln w="28575" cap="rnd">
              <a:solidFill>
                <a:schemeClr val="accent2"/>
              </a:solidFill>
              <a:prstDash val="sysDot"/>
              <a:round/>
            </a:ln>
            <a:effectLst/>
          </c:spPr>
          <c:marker>
            <c:symbol val="none"/>
          </c:marker>
          <c:cat>
            <c:strRef>
              <c:f>'5-day_data_analysis'!$A$4:$A$9</c:f>
              <c:strCache>
                <c:ptCount val="5"/>
                <c:pt idx="0">
                  <c:v>2-Mar</c:v>
                </c:pt>
                <c:pt idx="1">
                  <c:v>3-Mar</c:v>
                </c:pt>
                <c:pt idx="2">
                  <c:v>4-Mar</c:v>
                </c:pt>
                <c:pt idx="3">
                  <c:v>5-Mar</c:v>
                </c:pt>
                <c:pt idx="4">
                  <c:v>6-Mar</c:v>
                </c:pt>
              </c:strCache>
            </c:strRef>
          </c:cat>
          <c:val>
            <c:numRef>
              <c:f>'5-day_data_analysis'!$C$4:$C$9</c:f>
              <c:numCache>
                <c:formatCode>General</c:formatCode>
                <c:ptCount val="5"/>
                <c:pt idx="0">
                  <c:v>0.02</c:v>
                </c:pt>
                <c:pt idx="1">
                  <c:v>0.02</c:v>
                </c:pt>
                <c:pt idx="2">
                  <c:v>0.02</c:v>
                </c:pt>
                <c:pt idx="3">
                  <c:v>0.02</c:v>
                </c:pt>
                <c:pt idx="4">
                  <c:v>0.02</c:v>
                </c:pt>
              </c:numCache>
            </c:numRef>
          </c:val>
          <c:smooth val="0"/>
          <c:extLst>
            <c:ext xmlns:c16="http://schemas.microsoft.com/office/drawing/2014/chart" uri="{C3380CC4-5D6E-409C-BE32-E72D297353CC}">
              <c16:uniqueId val="{00000001-655B-44D9-870A-C9C8A619E7EC}"/>
            </c:ext>
          </c:extLst>
        </c:ser>
        <c:dLbls>
          <c:showLegendKey val="0"/>
          <c:showVal val="0"/>
          <c:showCatName val="0"/>
          <c:showSerName val="0"/>
          <c:showPercent val="0"/>
          <c:showBubbleSize val="0"/>
        </c:dLbls>
        <c:smooth val="0"/>
        <c:axId val="1188310959"/>
        <c:axId val="1188313359"/>
      </c:lineChart>
      <c:catAx>
        <c:axId val="118831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13359"/>
        <c:crosses val="autoZero"/>
        <c:auto val="1"/>
        <c:lblAlgn val="ctr"/>
        <c:lblOffset val="100"/>
        <c:noMultiLvlLbl val="0"/>
      </c:catAx>
      <c:valAx>
        <c:axId val="11883133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[Market_Risk_Report_TSLA_20260307_0943.xlsx]5-day_data_analysis!PivotTable2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Avg. TSLA 5-Day Volitility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'5-day_data_analysis'!$B$19</c:f>
              <c:strCache>
                <c:ptCount val="1"/>
                <c:pt idx="0">
                  <c:v>Average of Hourly Volatility</c:v>
                </c:pt>
              </c:strCache>
            </c:strRef>
          </c:tx>
          <c:spPr>
            <a:ln w="28575" cap="rnd">
              <a:solidFill>
                <a:schemeClr val="accent1"/>
              </a:solidFill>
              <a:round/>
            </a:ln>
            <a:effectLst/>
          </c:spPr>
          <c:marker>
            <c:symbol val="none"/>
          </c:marker>
          <c:cat>
            <c:strRef>
              <c:f>'5-day_data_analysis'!$A$20:$A$25</c:f>
              <c:strCache>
                <c:ptCount val="5"/>
                <c:pt idx="0">
                  <c:v>2-Mar</c:v>
                </c:pt>
                <c:pt idx="1">
                  <c:v>3-Mar</c:v>
                </c:pt>
                <c:pt idx="2">
                  <c:v>4-Mar</c:v>
                </c:pt>
                <c:pt idx="3">
                  <c:v>5-Mar</c:v>
                </c:pt>
                <c:pt idx="4">
                  <c:v>6-Mar</c:v>
                </c:pt>
              </c:strCache>
            </c:strRef>
          </c:cat>
          <c:val>
            <c:numRef>
              <c:f>'5-day_data_analysis'!$B$20:$B$25</c:f>
              <c:numCache>
                <c:formatCode>0.00</c:formatCode>
                <c:ptCount val="5"/>
                <c:pt idx="0">
                  <c:v>1.3534236395014512</c:v>
                </c:pt>
                <c:pt idx="1">
                  <c:v>3.8867373756152901</c:v>
                </c:pt>
                <c:pt idx="2">
                  <c:v>4.080218634176668</c:v>
                </c:pt>
                <c:pt idx="3">
                  <c:v>1.682386476953347</c:v>
                </c:pt>
                <c:pt idx="4">
                  <c:v>2.2251043383993276</c:v>
                </c:pt>
              </c:numCache>
            </c:numRef>
          </c:val>
          <c:smooth val="0"/>
          <c:extLst>
            <c:ext xmlns:c16="http://schemas.microsoft.com/office/drawing/2014/chart" uri="{C3380CC4-5D6E-409C-BE32-E72D297353CC}">
              <c16:uniqueId val="{00000000-FA42-4F98-B6C1-67464F959AF8}"/>
            </c:ext>
          </c:extLst>
        </c:ser>
        <c:ser>
          <c:idx val="1"/>
          <c:order val="1"/>
          <c:tx>
            <c:strRef>
              <c:f>'5-day_data_analysis'!$C$19</c:f>
              <c:strCache>
                <c:ptCount val="1"/>
                <c:pt idx="0">
                  <c:v>Average of Avg. Volatlity</c:v>
                </c:pt>
              </c:strCache>
            </c:strRef>
          </c:tx>
          <c:spPr>
            <a:ln w="28575" cap="rnd">
              <a:solidFill>
                <a:schemeClr val="accent2"/>
              </a:solidFill>
              <a:prstDash val="sysDot"/>
              <a:round/>
            </a:ln>
            <a:effectLst/>
          </c:spPr>
          <c:marker>
            <c:symbol val="none"/>
          </c:marker>
          <c:cat>
            <c:strRef>
              <c:f>'5-day_data_analysis'!$A$20:$A$25</c:f>
              <c:strCache>
                <c:ptCount val="5"/>
                <c:pt idx="0">
                  <c:v>2-Mar</c:v>
                </c:pt>
                <c:pt idx="1">
                  <c:v>3-Mar</c:v>
                </c:pt>
                <c:pt idx="2">
                  <c:v>4-Mar</c:v>
                </c:pt>
                <c:pt idx="3">
                  <c:v>5-Mar</c:v>
                </c:pt>
                <c:pt idx="4">
                  <c:v>6-Mar</c:v>
                </c:pt>
              </c:strCache>
            </c:strRef>
          </c:cat>
          <c:val>
            <c:numRef>
              <c:f>'5-day_data_analysis'!$C$20:$C$25</c:f>
              <c:numCache>
                <c:formatCode>General</c:formatCode>
                <c:ptCount val="5"/>
                <c:pt idx="0">
                  <c:v>2.81</c:v>
                </c:pt>
                <c:pt idx="1">
                  <c:v>2.8099999999999996</c:v>
                </c:pt>
                <c:pt idx="2">
                  <c:v>2.8099999999999996</c:v>
                </c:pt>
                <c:pt idx="3">
                  <c:v>2.8099999999999996</c:v>
                </c:pt>
                <c:pt idx="4">
                  <c:v>2.8099999999999996</c:v>
                </c:pt>
              </c:numCache>
            </c:numRef>
          </c:val>
          <c:smooth val="0"/>
          <c:extLst>
            <c:ext xmlns:c16="http://schemas.microsoft.com/office/drawing/2014/chart" uri="{C3380CC4-5D6E-409C-BE32-E72D297353CC}">
              <c16:uniqueId val="{00000001-FA42-4F98-B6C1-67464F959AF8}"/>
            </c:ext>
          </c:extLst>
        </c:ser>
        <c:dLbls>
          <c:showLegendKey val="0"/>
          <c:showVal val="0"/>
          <c:showCatName val="0"/>
          <c:showSerName val="0"/>
          <c:showPercent val="0"/>
          <c:showBubbleSize val="0"/>
        </c:dLbls>
        <c:smooth val="0"/>
        <c:axId val="1319686303"/>
        <c:axId val="1319690143"/>
      </c:lineChart>
      <c:catAx>
        <c:axId val="131968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90143"/>
        <c:crosses val="autoZero"/>
        <c:auto val="1"/>
        <c:lblAlgn val="ctr"/>
        <c:lblOffset val="100"/>
        <c:noMultiLvlLbl val="0"/>
      </c:catAx>
      <c:valAx>
        <c:axId val="1319690143"/>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Daily</a:t>
            </a:r>
            <a:r>
              <a:rPr lang="en-GB" baseline="0"/>
              <a:t> </a:t>
            </a:r>
            <a:r>
              <a:rPr lang="en-GB"/>
              <a:t>Cushion vs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'fiveday data '!$I$2:$I$36</c:f>
              <c:numCache>
                <c:formatCode>0.00%</c:formatCode>
                <c:ptCount val="35"/>
                <c:pt idx="0">
                  <c:v>0</c:v>
                </c:pt>
                <c:pt idx="1">
                  <c:v>0</c:v>
                </c:pt>
                <c:pt idx="2">
                  <c:v>0</c:v>
                </c:pt>
                <c:pt idx="3">
                  <c:v>0</c:v>
                </c:pt>
                <c:pt idx="4">
                  <c:v>2.422671626016519E-2</c:v>
                </c:pt>
                <c:pt idx="5">
                  <c:v>1.5907817664208249E-2</c:v>
                </c:pt>
                <c:pt idx="6">
                  <c:v>2.3688129323731381E-2</c:v>
                </c:pt>
                <c:pt idx="7">
                  <c:v>-1.04586943471892E-2</c:v>
                </c:pt>
                <c:pt idx="8">
                  <c:v>9.0946307825149203E-3</c:v>
                </c:pt>
                <c:pt idx="9">
                  <c:v>1.314300129453385E-2</c:v>
                </c:pt>
                <c:pt idx="10">
                  <c:v>1.9715910282520809E-2</c:v>
                </c:pt>
                <c:pt idx="11">
                  <c:v>2.144622121545699E-2</c:v>
                </c:pt>
                <c:pt idx="12">
                  <c:v>2.0790383975262141E-2</c:v>
                </c:pt>
                <c:pt idx="13">
                  <c:v>2.0369162881715631E-2</c:v>
                </c:pt>
                <c:pt idx="14">
                  <c:v>5.1810002623411261E-2</c:v>
                </c:pt>
                <c:pt idx="15">
                  <c:v>3.7125025046836548E-2</c:v>
                </c:pt>
                <c:pt idx="16">
                  <c:v>3.1967611396257187E-2</c:v>
                </c:pt>
                <c:pt idx="17">
                  <c:v>2.3472641270257E-2</c:v>
                </c:pt>
                <c:pt idx="18">
                  <c:v>2.282222953813462E-2</c:v>
                </c:pt>
                <c:pt idx="19">
                  <c:v>2.4759542286845241E-2</c:v>
                </c:pt>
                <c:pt idx="20">
                  <c:v>2.159815552989432E-2</c:v>
                </c:pt>
                <c:pt idx="21">
                  <c:v>1.6095987421314031E-2</c:v>
                </c:pt>
                <c:pt idx="22">
                  <c:v>1.974221600774622E-2</c:v>
                </c:pt>
                <c:pt idx="23">
                  <c:v>1.5634189259348241E-2</c:v>
                </c:pt>
                <c:pt idx="24">
                  <c:v>1.062108113920234E-2</c:v>
                </c:pt>
                <c:pt idx="25">
                  <c:v>1.7907202738974799E-2</c:v>
                </c:pt>
                <c:pt idx="26">
                  <c:v>2.097322260494219E-2</c:v>
                </c:pt>
                <c:pt idx="27">
                  <c:v>2.7599368499000781E-2</c:v>
                </c:pt>
                <c:pt idx="28">
                  <c:v>1.002027313530965E-2</c:v>
                </c:pt>
                <c:pt idx="29">
                  <c:v>1.5948316475234259E-2</c:v>
                </c:pt>
                <c:pt idx="30">
                  <c:v>1.547850404146826E-2</c:v>
                </c:pt>
                <c:pt idx="31">
                  <c:v>2.218604866175905E-2</c:v>
                </c:pt>
                <c:pt idx="32">
                  <c:v>2.0551286711368629E-2</c:v>
                </c:pt>
                <c:pt idx="33">
                  <c:v>1.4231563331592411E-2</c:v>
                </c:pt>
                <c:pt idx="34">
                  <c:v>1.5379399295501381E-2</c:v>
                </c:pt>
              </c:numCache>
            </c:numRef>
          </c:xVal>
          <c:yVal>
            <c:numRef>
              <c:f>'fiveday data '!$K$2:$K$36</c:f>
              <c:numCache>
                <c:formatCode>General</c:formatCode>
                <c:ptCount val="35"/>
                <c:pt idx="4" formatCode="0.00">
                  <c:v>1.5281797280535963</c:v>
                </c:pt>
                <c:pt idx="5" formatCode="0.00">
                  <c:v>1.2500668166005169</c:v>
                </c:pt>
                <c:pt idx="6" formatCode="0.00">
                  <c:v>1.2820243738502406</c:v>
                </c:pt>
                <c:pt idx="7" formatCode="0.00">
                  <c:v>6.1594897373281912</c:v>
                </c:pt>
                <c:pt idx="8" formatCode="0.00">
                  <c:v>6.3702990975577007</c:v>
                </c:pt>
                <c:pt idx="9" formatCode="0.00">
                  <c:v>5.8658314236002411</c:v>
                </c:pt>
                <c:pt idx="10" formatCode="0.00">
                  <c:v>5.3654032062828092</c:v>
                </c:pt>
                <c:pt idx="11" formatCode="0.00">
                  <c:v>2.326221575826616</c:v>
                </c:pt>
                <c:pt idx="12" formatCode="0.00">
                  <c:v>0.56202827535281963</c:v>
                </c:pt>
                <c:pt idx="13" formatCode="0.00">
                  <c:v>0.5578883133586513</c:v>
                </c:pt>
                <c:pt idx="14" formatCode="0.00">
                  <c:v>6.1082970981318097</c:v>
                </c:pt>
                <c:pt idx="15" formatCode="0.00">
                  <c:v>6.833936725421994</c:v>
                </c:pt>
                <c:pt idx="16" formatCode="0.00">
                  <c:v>6.5351910997374665</c:v>
                </c:pt>
                <c:pt idx="17" formatCode="0.00">
                  <c:v>5.2878575235209873</c:v>
                </c:pt>
                <c:pt idx="18" formatCode="0.00">
                  <c:v>1.4401983774185458</c:v>
                </c:pt>
                <c:pt idx="19" formatCode="0.00">
                  <c:v>1.222112777018481</c:v>
                </c:pt>
                <c:pt idx="20" formatCode="0.00">
                  <c:v>1.1339368379873913</c:v>
                </c:pt>
                <c:pt idx="21" formatCode="0.00">
                  <c:v>1.3724435782647633</c:v>
                </c:pt>
                <c:pt idx="22" formatCode="0.00">
                  <c:v>1.1324907506265944</c:v>
                </c:pt>
                <c:pt idx="23" formatCode="0.00">
                  <c:v>1.4409391889104941</c:v>
                </c:pt>
                <c:pt idx="24" formatCode="0.00">
                  <c:v>2.2170761568199642</c:v>
                </c:pt>
                <c:pt idx="25" formatCode="0.00">
                  <c:v>1.9065986112659985</c:v>
                </c:pt>
                <c:pt idx="26" formatCode="0.00">
                  <c:v>1.8557267111499656</c:v>
                </c:pt>
                <c:pt idx="27" formatCode="0.00">
                  <c:v>1.8514303416356477</c:v>
                </c:pt>
                <c:pt idx="28" formatCode="0.00">
                  <c:v>2.7416049384248318</c:v>
                </c:pt>
                <c:pt idx="29" formatCode="0.00">
                  <c:v>2.755296705432603</c:v>
                </c:pt>
                <c:pt idx="30" formatCode="0.00">
                  <c:v>2.9143873361193138</c:v>
                </c:pt>
                <c:pt idx="31" formatCode="0.00">
                  <c:v>2.7607261558744698</c:v>
                </c:pt>
                <c:pt idx="32" formatCode="0.00">
                  <c:v>1.2443945228892976</c:v>
                </c:pt>
                <c:pt idx="33" formatCode="0.00">
                  <c:v>1.4363127260988133</c:v>
                </c:pt>
                <c:pt idx="34" formatCode="0.00">
                  <c:v>1.7230079839559627</c:v>
                </c:pt>
              </c:numCache>
            </c:numRef>
          </c:yVal>
          <c:smooth val="0"/>
          <c:extLst>
            <c:ext xmlns:c16="http://schemas.microsoft.com/office/drawing/2014/chart" uri="{C3380CC4-5D6E-409C-BE32-E72D297353CC}">
              <c16:uniqueId val="{00000000-9A2F-4F55-BB69-6697E761CF8C}"/>
            </c:ext>
          </c:extLst>
        </c:ser>
        <c:dLbls>
          <c:showLegendKey val="0"/>
          <c:showVal val="0"/>
          <c:showCatName val="0"/>
          <c:showSerName val="0"/>
          <c:showPercent val="0"/>
          <c:showBubbleSize val="0"/>
        </c:dLbls>
        <c:axId val="82815664"/>
        <c:axId val="82815184"/>
      </c:scatterChart>
      <c:valAx>
        <c:axId val="82815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Safety Cushion</a:t>
                </a:r>
                <a:r>
                  <a:rPr lang="en-GB" baseline="0"/>
                  <a:t> (%)</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5184"/>
        <c:crosses val="autoZero"/>
        <c:crossBetween val="midCat"/>
      </c:valAx>
      <c:valAx>
        <c:axId val="8281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Market Volatlity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5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[Market_Risk_Report_TSLA_20260307_0943.xlsx]Master_data_analysis!PivotTable11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Percent Risk Exposure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1400" b="0" i="0" u="none" strike="noStrike" kern="1200" spc="0" baseline="0">
                <a:solidFill>
                  <a:sysClr val="windowText" lastClr="000000">
                    <a:lumMod val="65000"/>
                    <a:lumOff val="35000"/>
                  </a:sysClr>
                </a:solidFill>
              </a:rPr>
              <a:t>Current vs Historical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Master_data_analysis!$B$3:$B$4</c:f>
              <c:strCache>
                <c:ptCount val="1"/>
                <c:pt idx="0">
                  <c:v>30 day</c:v>
                </c:pt>
              </c:strCache>
            </c:strRef>
          </c:tx>
          <c:spPr>
            <a:solidFill>
              <a:schemeClr val="accent1"/>
            </a:solidFill>
            <a:ln>
              <a:noFill/>
            </a:ln>
            <a:effectLst/>
          </c:spPr>
          <c:invertIfNegative val="0"/>
          <c:cat>
            <c:strRef>
              <c:f>Master_data_analysis!$A$5:$A$8</c:f>
              <c:strCache>
                <c:ptCount val="3"/>
                <c:pt idx="0">
                  <c:v>High Risk</c:v>
                </c:pt>
                <c:pt idx="1">
                  <c:v>Low Risk</c:v>
                </c:pt>
                <c:pt idx="2">
                  <c:v>Moderate Risk</c:v>
                </c:pt>
              </c:strCache>
            </c:strRef>
          </c:cat>
          <c:val>
            <c:numRef>
              <c:f>Master_data_analysis!$B$5:$B$8</c:f>
              <c:numCache>
                <c:formatCode>0.00%</c:formatCode>
                <c:ptCount val="3"/>
                <c:pt idx="0">
                  <c:v>0.4263565891472868</c:v>
                </c:pt>
                <c:pt idx="1">
                  <c:v>4.6511627906976744E-2</c:v>
                </c:pt>
                <c:pt idx="2">
                  <c:v>0.52713178294573648</c:v>
                </c:pt>
              </c:numCache>
            </c:numRef>
          </c:val>
          <c:extLst>
            <c:ext xmlns:c16="http://schemas.microsoft.com/office/drawing/2014/chart" uri="{C3380CC4-5D6E-409C-BE32-E72D297353CC}">
              <c16:uniqueId val="{00000000-26C8-4A05-8622-B6B4800C1451}"/>
            </c:ext>
          </c:extLst>
        </c:ser>
        <c:ser>
          <c:idx val="1"/>
          <c:order val="1"/>
          <c:tx>
            <c:strRef>
              <c:f>Master_data_analysis!$C$3:$C$4</c:f>
              <c:strCache>
                <c:ptCount val="1"/>
                <c:pt idx="0">
                  <c:v>5 day</c:v>
                </c:pt>
              </c:strCache>
            </c:strRef>
          </c:tx>
          <c:spPr>
            <a:solidFill>
              <a:schemeClr val="accent2"/>
            </a:solidFill>
            <a:ln>
              <a:noFill/>
            </a:ln>
            <a:effectLst/>
          </c:spPr>
          <c:invertIfNegative val="0"/>
          <c:cat>
            <c:strRef>
              <c:f>Master_data_analysis!$A$5:$A$8</c:f>
              <c:strCache>
                <c:ptCount val="3"/>
                <c:pt idx="0">
                  <c:v>High Risk</c:v>
                </c:pt>
                <c:pt idx="1">
                  <c:v>Low Risk</c:v>
                </c:pt>
                <c:pt idx="2">
                  <c:v>Moderate Risk</c:v>
                </c:pt>
              </c:strCache>
            </c:strRef>
          </c:cat>
          <c:val>
            <c:numRef>
              <c:f>Master_data_analysis!$C$5:$C$8</c:f>
              <c:numCache>
                <c:formatCode>0.00%</c:formatCode>
                <c:ptCount val="3"/>
                <c:pt idx="0">
                  <c:v>0.4838709677419355</c:v>
                </c:pt>
                <c:pt idx="1">
                  <c:v>9.6774193548387094E-2</c:v>
                </c:pt>
                <c:pt idx="2">
                  <c:v>0.41935483870967744</c:v>
                </c:pt>
              </c:numCache>
            </c:numRef>
          </c:val>
          <c:extLst>
            <c:ext xmlns:c16="http://schemas.microsoft.com/office/drawing/2014/chart" uri="{C3380CC4-5D6E-409C-BE32-E72D297353CC}">
              <c16:uniqueId val="{00000002-D4D1-440A-8886-47B0B566EBC0}"/>
            </c:ext>
          </c:extLst>
        </c:ser>
        <c:dLbls>
          <c:showLegendKey val="0"/>
          <c:showVal val="0"/>
          <c:showCatName val="0"/>
          <c:showSerName val="0"/>
          <c:showPercent val="0"/>
          <c:showBubbleSize val="0"/>
        </c:dLbls>
        <c:gapWidth val="219"/>
        <c:overlap val="-27"/>
        <c:axId val="121430144"/>
        <c:axId val="121439264"/>
      </c:barChart>
      <c:catAx>
        <c:axId val="12143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9264"/>
        <c:crosses val="autoZero"/>
        <c:auto val="1"/>
        <c:lblAlgn val="ctr"/>
        <c:lblOffset val="100"/>
        <c:noMultiLvlLbl val="0"/>
      </c:catAx>
      <c:valAx>
        <c:axId val="121439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[Market_Risk_Report_TSLA_20260307_0943.xlsx]5-day_data_analysis!PivotTable1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Safety Cushion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'5-day_data_analysis'!$B$3</c:f>
              <c:strCache>
                <c:ptCount val="1"/>
                <c:pt idx="0">
                  <c:v>Average of Cushion_Pct</c:v>
                </c:pt>
              </c:strCache>
            </c:strRef>
          </c:tx>
          <c:spPr>
            <a:ln w="28575" cap="rnd">
              <a:solidFill>
                <a:schemeClr val="accent1"/>
              </a:solidFill>
              <a:round/>
            </a:ln>
            <a:effectLst/>
          </c:spPr>
          <c:marker>
            <c:symbol val="none"/>
          </c:marker>
          <c:cat>
            <c:strRef>
              <c:f>'5-day_data_analysis'!$A$4:$A$9</c:f>
              <c:strCache>
                <c:ptCount val="5"/>
                <c:pt idx="0">
                  <c:v>2-Mar</c:v>
                </c:pt>
                <c:pt idx="1">
                  <c:v>3-Mar</c:v>
                </c:pt>
                <c:pt idx="2">
                  <c:v>4-Mar</c:v>
                </c:pt>
                <c:pt idx="3">
                  <c:v>5-Mar</c:v>
                </c:pt>
                <c:pt idx="4">
                  <c:v>6-Mar</c:v>
                </c:pt>
              </c:strCache>
            </c:strRef>
          </c:cat>
          <c:val>
            <c:numRef>
              <c:f>'5-day_data_analysis'!$B$4:$B$9</c:f>
              <c:numCache>
                <c:formatCode>0.00%</c:formatCode>
                <c:ptCount val="5"/>
                <c:pt idx="0">
                  <c:v>9.1175233211578301E-3</c:v>
                </c:pt>
                <c:pt idx="1">
                  <c:v>1.3442945154973591E-2</c:v>
                </c:pt>
                <c:pt idx="2">
                  <c:v>3.0507886813090884E-2</c:v>
                </c:pt>
                <c:pt idx="3">
                  <c:v>1.8367609667218371E-2</c:v>
                </c:pt>
                <c:pt idx="4">
                  <c:v>1.6256484521747664E-2</c:v>
                </c:pt>
              </c:numCache>
            </c:numRef>
          </c:val>
          <c:smooth val="0"/>
          <c:extLst>
            <c:ext xmlns:c16="http://schemas.microsoft.com/office/drawing/2014/chart" uri="{C3380CC4-5D6E-409C-BE32-E72D297353CC}">
              <c16:uniqueId val="{00000000-CF7A-4F1D-8543-174EDF129E02}"/>
            </c:ext>
          </c:extLst>
        </c:ser>
        <c:ser>
          <c:idx val="1"/>
          <c:order val="1"/>
          <c:tx>
            <c:strRef>
              <c:f>'5-day_data_analysis'!$C$3</c:f>
              <c:strCache>
                <c:ptCount val="1"/>
                <c:pt idx="0">
                  <c:v>Average of Threshold</c:v>
                </c:pt>
              </c:strCache>
            </c:strRef>
          </c:tx>
          <c:spPr>
            <a:ln w="28575" cap="rnd">
              <a:solidFill>
                <a:schemeClr val="accent2"/>
              </a:solidFill>
              <a:prstDash val="sysDot"/>
              <a:round/>
            </a:ln>
            <a:effectLst/>
          </c:spPr>
          <c:marker>
            <c:symbol val="none"/>
          </c:marker>
          <c:cat>
            <c:strRef>
              <c:f>'5-day_data_analysis'!$A$4:$A$9</c:f>
              <c:strCache>
                <c:ptCount val="5"/>
                <c:pt idx="0">
                  <c:v>2-Mar</c:v>
                </c:pt>
                <c:pt idx="1">
                  <c:v>3-Mar</c:v>
                </c:pt>
                <c:pt idx="2">
                  <c:v>4-Mar</c:v>
                </c:pt>
                <c:pt idx="3">
                  <c:v>5-Mar</c:v>
                </c:pt>
                <c:pt idx="4">
                  <c:v>6-Mar</c:v>
                </c:pt>
              </c:strCache>
            </c:strRef>
          </c:cat>
          <c:val>
            <c:numRef>
              <c:f>'5-day_data_analysis'!$C$4:$C$9</c:f>
              <c:numCache>
                <c:formatCode>General</c:formatCode>
                <c:ptCount val="5"/>
                <c:pt idx="0">
                  <c:v>0.02</c:v>
                </c:pt>
                <c:pt idx="1">
                  <c:v>0.02</c:v>
                </c:pt>
                <c:pt idx="2">
                  <c:v>0.02</c:v>
                </c:pt>
                <c:pt idx="3">
                  <c:v>0.02</c:v>
                </c:pt>
                <c:pt idx="4">
                  <c:v>0.02</c:v>
                </c:pt>
              </c:numCache>
            </c:numRef>
          </c:val>
          <c:smooth val="0"/>
          <c:extLst>
            <c:ext xmlns:c16="http://schemas.microsoft.com/office/drawing/2014/chart" uri="{C3380CC4-5D6E-409C-BE32-E72D297353CC}">
              <c16:uniqueId val="{00000001-CF7A-4F1D-8543-174EDF129E02}"/>
            </c:ext>
          </c:extLst>
        </c:ser>
        <c:dLbls>
          <c:showLegendKey val="0"/>
          <c:showVal val="0"/>
          <c:showCatName val="0"/>
          <c:showSerName val="0"/>
          <c:showPercent val="0"/>
          <c:showBubbleSize val="0"/>
        </c:dLbls>
        <c:smooth val="0"/>
        <c:axId val="1188310959"/>
        <c:axId val="1188313359"/>
      </c:lineChart>
      <c:catAx>
        <c:axId val="1188310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13359"/>
        <c:crosses val="autoZero"/>
        <c:auto val="1"/>
        <c:lblAlgn val="ctr"/>
        <c:lblOffset val="100"/>
        <c:noMultiLvlLbl val="0"/>
      </c:catAx>
      <c:valAx>
        <c:axId val="1188313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Cushion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[Market_Risk_Report_TSLA_20260307_0943.xlsx]5-day_data_analysis!PivotTable2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Avg. TSLA 5-Day Volitility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'5-day_data_analysis'!$B$19</c:f>
              <c:strCache>
                <c:ptCount val="1"/>
                <c:pt idx="0">
                  <c:v>Average of Hourly Volatility</c:v>
                </c:pt>
              </c:strCache>
            </c:strRef>
          </c:tx>
          <c:spPr>
            <a:ln w="28575" cap="rnd">
              <a:solidFill>
                <a:schemeClr val="accent1"/>
              </a:solidFill>
              <a:round/>
            </a:ln>
            <a:effectLst/>
          </c:spPr>
          <c:marker>
            <c:symbol val="none"/>
          </c:marker>
          <c:cat>
            <c:strRef>
              <c:f>'5-day_data_analysis'!$A$20:$A$25</c:f>
              <c:strCache>
                <c:ptCount val="5"/>
                <c:pt idx="0">
                  <c:v>2-Mar</c:v>
                </c:pt>
                <c:pt idx="1">
                  <c:v>3-Mar</c:v>
                </c:pt>
                <c:pt idx="2">
                  <c:v>4-Mar</c:v>
                </c:pt>
                <c:pt idx="3">
                  <c:v>5-Mar</c:v>
                </c:pt>
                <c:pt idx="4">
                  <c:v>6-Mar</c:v>
                </c:pt>
              </c:strCache>
            </c:strRef>
          </c:cat>
          <c:val>
            <c:numRef>
              <c:f>'5-day_data_analysis'!$B$20:$B$25</c:f>
              <c:numCache>
                <c:formatCode>0.00</c:formatCode>
                <c:ptCount val="5"/>
                <c:pt idx="0">
                  <c:v>1.3534236395014512</c:v>
                </c:pt>
                <c:pt idx="1">
                  <c:v>3.8867373756152901</c:v>
                </c:pt>
                <c:pt idx="2">
                  <c:v>4.080218634176668</c:v>
                </c:pt>
                <c:pt idx="3">
                  <c:v>1.682386476953347</c:v>
                </c:pt>
                <c:pt idx="4">
                  <c:v>2.2251043383993276</c:v>
                </c:pt>
              </c:numCache>
            </c:numRef>
          </c:val>
          <c:smooth val="0"/>
          <c:extLst>
            <c:ext xmlns:c16="http://schemas.microsoft.com/office/drawing/2014/chart" uri="{C3380CC4-5D6E-409C-BE32-E72D297353CC}">
              <c16:uniqueId val="{00000000-0570-44B1-9A1B-CFF35666EC26}"/>
            </c:ext>
          </c:extLst>
        </c:ser>
        <c:ser>
          <c:idx val="1"/>
          <c:order val="1"/>
          <c:tx>
            <c:strRef>
              <c:f>'5-day_data_analysis'!$C$19</c:f>
              <c:strCache>
                <c:ptCount val="1"/>
                <c:pt idx="0">
                  <c:v>Average of Avg. Volatlity</c:v>
                </c:pt>
              </c:strCache>
            </c:strRef>
          </c:tx>
          <c:spPr>
            <a:ln w="28575" cap="rnd">
              <a:solidFill>
                <a:schemeClr val="accent2"/>
              </a:solidFill>
              <a:prstDash val="sysDot"/>
              <a:round/>
            </a:ln>
            <a:effectLst/>
          </c:spPr>
          <c:marker>
            <c:symbol val="none"/>
          </c:marker>
          <c:cat>
            <c:strRef>
              <c:f>'5-day_data_analysis'!$A$20:$A$25</c:f>
              <c:strCache>
                <c:ptCount val="5"/>
                <c:pt idx="0">
                  <c:v>2-Mar</c:v>
                </c:pt>
                <c:pt idx="1">
                  <c:v>3-Mar</c:v>
                </c:pt>
                <c:pt idx="2">
                  <c:v>4-Mar</c:v>
                </c:pt>
                <c:pt idx="3">
                  <c:v>5-Mar</c:v>
                </c:pt>
                <c:pt idx="4">
                  <c:v>6-Mar</c:v>
                </c:pt>
              </c:strCache>
            </c:strRef>
          </c:cat>
          <c:val>
            <c:numRef>
              <c:f>'5-day_data_analysis'!$C$20:$C$25</c:f>
              <c:numCache>
                <c:formatCode>General</c:formatCode>
                <c:ptCount val="5"/>
                <c:pt idx="0">
                  <c:v>2.81</c:v>
                </c:pt>
                <c:pt idx="1">
                  <c:v>2.8099999999999996</c:v>
                </c:pt>
                <c:pt idx="2">
                  <c:v>2.8099999999999996</c:v>
                </c:pt>
                <c:pt idx="3">
                  <c:v>2.8099999999999996</c:v>
                </c:pt>
                <c:pt idx="4">
                  <c:v>2.8099999999999996</c:v>
                </c:pt>
              </c:numCache>
            </c:numRef>
          </c:val>
          <c:smooth val="0"/>
          <c:extLst>
            <c:ext xmlns:c16="http://schemas.microsoft.com/office/drawing/2014/chart" uri="{C3380CC4-5D6E-409C-BE32-E72D297353CC}">
              <c16:uniqueId val="{00000001-0570-44B1-9A1B-CFF35666EC26}"/>
            </c:ext>
          </c:extLst>
        </c:ser>
        <c:dLbls>
          <c:showLegendKey val="0"/>
          <c:showVal val="0"/>
          <c:showCatName val="0"/>
          <c:showSerName val="0"/>
          <c:showPercent val="0"/>
          <c:showBubbleSize val="0"/>
        </c:dLbls>
        <c:smooth val="0"/>
        <c:axId val="1319686303"/>
        <c:axId val="1319690143"/>
      </c:lineChart>
      <c:catAx>
        <c:axId val="131968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90143"/>
        <c:crosses val="autoZero"/>
        <c:auto val="1"/>
        <c:lblAlgn val="ctr"/>
        <c:lblOffset val="100"/>
        <c:noMultiLvlLbl val="0"/>
      </c:catAx>
      <c:valAx>
        <c:axId val="1319690143"/>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Volatility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68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[Market_Risk_Report_TSLA_20260307_0943.xlsx]Master_data_analysis!PivotTable11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0" i="0" u="none" strike="noStrike" kern="1200" spc="0" baseline="0">
                <a:solidFill>
                  <a:sysClr val="windowText" lastClr="000000">
                    <a:lumMod val="65000"/>
                    <a:lumOff val="35000"/>
                  </a:sysClr>
                </a:solidFill>
              </a:rPr>
              <a:t>Percent Risk Exposure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1400" b="0" i="0" u="none" strike="noStrike" kern="1200" spc="0" baseline="0">
                <a:solidFill>
                  <a:sysClr val="windowText" lastClr="000000">
                    <a:lumMod val="65000"/>
                    <a:lumOff val="35000"/>
                  </a:sysClr>
                </a:solidFill>
              </a:rPr>
              <a:t>Current vs Historical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Master_data_analysis!$B$3:$B$4</c:f>
              <c:strCache>
                <c:ptCount val="1"/>
                <c:pt idx="0">
                  <c:v>30 day</c:v>
                </c:pt>
              </c:strCache>
            </c:strRef>
          </c:tx>
          <c:spPr>
            <a:solidFill>
              <a:schemeClr val="accent1"/>
            </a:solidFill>
            <a:ln>
              <a:noFill/>
            </a:ln>
            <a:effectLst/>
          </c:spPr>
          <c:invertIfNegative val="0"/>
          <c:cat>
            <c:strRef>
              <c:f>Master_data_analysis!$A$5:$A$8</c:f>
              <c:strCache>
                <c:ptCount val="3"/>
                <c:pt idx="0">
                  <c:v>High Risk</c:v>
                </c:pt>
                <c:pt idx="1">
                  <c:v>Low Risk</c:v>
                </c:pt>
                <c:pt idx="2">
                  <c:v>Moderate Risk</c:v>
                </c:pt>
              </c:strCache>
            </c:strRef>
          </c:cat>
          <c:val>
            <c:numRef>
              <c:f>Master_data_analysis!$B$5:$B$8</c:f>
              <c:numCache>
                <c:formatCode>0.00%</c:formatCode>
                <c:ptCount val="3"/>
                <c:pt idx="0">
                  <c:v>0.4263565891472868</c:v>
                </c:pt>
                <c:pt idx="1">
                  <c:v>4.6511627906976744E-2</c:v>
                </c:pt>
                <c:pt idx="2">
                  <c:v>0.52713178294573648</c:v>
                </c:pt>
              </c:numCache>
            </c:numRef>
          </c:val>
          <c:extLst>
            <c:ext xmlns:c16="http://schemas.microsoft.com/office/drawing/2014/chart" uri="{C3380CC4-5D6E-409C-BE32-E72D297353CC}">
              <c16:uniqueId val="{00000000-A1E0-4852-BAAA-FF08148722A3}"/>
            </c:ext>
          </c:extLst>
        </c:ser>
        <c:ser>
          <c:idx val="1"/>
          <c:order val="1"/>
          <c:tx>
            <c:strRef>
              <c:f>Master_data_analysis!$C$3:$C$4</c:f>
              <c:strCache>
                <c:ptCount val="1"/>
                <c:pt idx="0">
                  <c:v>5 day</c:v>
                </c:pt>
              </c:strCache>
            </c:strRef>
          </c:tx>
          <c:spPr>
            <a:solidFill>
              <a:schemeClr val="accent2"/>
            </a:solidFill>
            <a:ln>
              <a:noFill/>
            </a:ln>
            <a:effectLst/>
          </c:spPr>
          <c:invertIfNegative val="0"/>
          <c:cat>
            <c:strRef>
              <c:f>Master_data_analysis!$A$5:$A$8</c:f>
              <c:strCache>
                <c:ptCount val="3"/>
                <c:pt idx="0">
                  <c:v>High Risk</c:v>
                </c:pt>
                <c:pt idx="1">
                  <c:v>Low Risk</c:v>
                </c:pt>
                <c:pt idx="2">
                  <c:v>Moderate Risk</c:v>
                </c:pt>
              </c:strCache>
            </c:strRef>
          </c:cat>
          <c:val>
            <c:numRef>
              <c:f>Master_data_analysis!$C$5:$C$8</c:f>
              <c:numCache>
                <c:formatCode>0.00%</c:formatCode>
                <c:ptCount val="3"/>
                <c:pt idx="0">
                  <c:v>0.4838709677419355</c:v>
                </c:pt>
                <c:pt idx="1">
                  <c:v>9.6774193548387094E-2</c:v>
                </c:pt>
                <c:pt idx="2">
                  <c:v>0.41935483870967744</c:v>
                </c:pt>
              </c:numCache>
            </c:numRef>
          </c:val>
          <c:extLst>
            <c:ext xmlns:c16="http://schemas.microsoft.com/office/drawing/2014/chart" uri="{C3380CC4-5D6E-409C-BE32-E72D297353CC}">
              <c16:uniqueId val="{00000002-4DDB-4A4C-B477-2B50A381ED04}"/>
            </c:ext>
          </c:extLst>
        </c:ser>
        <c:dLbls>
          <c:showLegendKey val="0"/>
          <c:showVal val="0"/>
          <c:showCatName val="0"/>
          <c:showSerName val="0"/>
          <c:showPercent val="0"/>
          <c:showBubbleSize val="0"/>
        </c:dLbls>
        <c:gapWidth val="219"/>
        <c:overlap val="-27"/>
        <c:axId val="121430144"/>
        <c:axId val="121439264"/>
      </c:barChart>
      <c:catAx>
        <c:axId val="12143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Risk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9264"/>
        <c:crosses val="autoZero"/>
        <c:auto val="0"/>
        <c:lblAlgn val="ctr"/>
        <c:lblOffset val="100"/>
        <c:noMultiLvlLbl val="0"/>
      </c:catAx>
      <c:valAx>
        <c:axId val="121439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Risk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3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Daily</a:t>
            </a:r>
            <a:r>
              <a:rPr lang="en-GB" baseline="0"/>
              <a:t> </a:t>
            </a:r>
            <a:r>
              <a:rPr lang="en-GB"/>
              <a:t>Cushion vs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'fiveday data '!$I$2:$I$36</c:f>
              <c:numCache>
                <c:formatCode>0.00%</c:formatCode>
                <c:ptCount val="35"/>
                <c:pt idx="0">
                  <c:v>0</c:v>
                </c:pt>
                <c:pt idx="1">
                  <c:v>0</c:v>
                </c:pt>
                <c:pt idx="2">
                  <c:v>0</c:v>
                </c:pt>
                <c:pt idx="3">
                  <c:v>0</c:v>
                </c:pt>
                <c:pt idx="4">
                  <c:v>2.422671626016519E-2</c:v>
                </c:pt>
                <c:pt idx="5">
                  <c:v>1.5907817664208249E-2</c:v>
                </c:pt>
                <c:pt idx="6">
                  <c:v>2.3688129323731381E-2</c:v>
                </c:pt>
                <c:pt idx="7">
                  <c:v>-1.04586943471892E-2</c:v>
                </c:pt>
                <c:pt idx="8">
                  <c:v>9.0946307825149203E-3</c:v>
                </c:pt>
                <c:pt idx="9">
                  <c:v>1.314300129453385E-2</c:v>
                </c:pt>
                <c:pt idx="10">
                  <c:v>1.9715910282520809E-2</c:v>
                </c:pt>
                <c:pt idx="11">
                  <c:v>2.144622121545699E-2</c:v>
                </c:pt>
                <c:pt idx="12">
                  <c:v>2.0790383975262141E-2</c:v>
                </c:pt>
                <c:pt idx="13">
                  <c:v>2.0369162881715631E-2</c:v>
                </c:pt>
                <c:pt idx="14">
                  <c:v>5.1810002623411261E-2</c:v>
                </c:pt>
                <c:pt idx="15">
                  <c:v>3.7125025046836548E-2</c:v>
                </c:pt>
                <c:pt idx="16">
                  <c:v>3.1967611396257187E-2</c:v>
                </c:pt>
                <c:pt idx="17">
                  <c:v>2.3472641270257E-2</c:v>
                </c:pt>
                <c:pt idx="18">
                  <c:v>2.282222953813462E-2</c:v>
                </c:pt>
                <c:pt idx="19">
                  <c:v>2.4759542286845241E-2</c:v>
                </c:pt>
                <c:pt idx="20">
                  <c:v>2.159815552989432E-2</c:v>
                </c:pt>
                <c:pt idx="21">
                  <c:v>1.6095987421314031E-2</c:v>
                </c:pt>
                <c:pt idx="22">
                  <c:v>1.974221600774622E-2</c:v>
                </c:pt>
                <c:pt idx="23">
                  <c:v>1.5634189259348241E-2</c:v>
                </c:pt>
                <c:pt idx="24">
                  <c:v>1.062108113920234E-2</c:v>
                </c:pt>
                <c:pt idx="25">
                  <c:v>1.7907202738974799E-2</c:v>
                </c:pt>
                <c:pt idx="26">
                  <c:v>2.097322260494219E-2</c:v>
                </c:pt>
                <c:pt idx="27">
                  <c:v>2.7599368499000781E-2</c:v>
                </c:pt>
                <c:pt idx="28">
                  <c:v>1.002027313530965E-2</c:v>
                </c:pt>
                <c:pt idx="29">
                  <c:v>1.5948316475234259E-2</c:v>
                </c:pt>
                <c:pt idx="30">
                  <c:v>1.547850404146826E-2</c:v>
                </c:pt>
                <c:pt idx="31">
                  <c:v>2.218604866175905E-2</c:v>
                </c:pt>
                <c:pt idx="32">
                  <c:v>2.0551286711368629E-2</c:v>
                </c:pt>
                <c:pt idx="33">
                  <c:v>1.4231563331592411E-2</c:v>
                </c:pt>
                <c:pt idx="34">
                  <c:v>1.5379399295501381E-2</c:v>
                </c:pt>
              </c:numCache>
            </c:numRef>
          </c:xVal>
          <c:yVal>
            <c:numRef>
              <c:f>'fiveday data '!$K$2:$K$36</c:f>
              <c:numCache>
                <c:formatCode>General</c:formatCode>
                <c:ptCount val="35"/>
                <c:pt idx="4" formatCode="0.00">
                  <c:v>1.5281797280535963</c:v>
                </c:pt>
                <c:pt idx="5" formatCode="0.00">
                  <c:v>1.2500668166005169</c:v>
                </c:pt>
                <c:pt idx="6" formatCode="0.00">
                  <c:v>1.2820243738502406</c:v>
                </c:pt>
                <c:pt idx="7" formatCode="0.00">
                  <c:v>6.1594897373281912</c:v>
                </c:pt>
                <c:pt idx="8" formatCode="0.00">
                  <c:v>6.3702990975577007</c:v>
                </c:pt>
                <c:pt idx="9" formatCode="0.00">
                  <c:v>5.8658314236002411</c:v>
                </c:pt>
                <c:pt idx="10" formatCode="0.00">
                  <c:v>5.3654032062828092</c:v>
                </c:pt>
                <c:pt idx="11" formatCode="0.00">
                  <c:v>2.326221575826616</c:v>
                </c:pt>
                <c:pt idx="12" formatCode="0.00">
                  <c:v>0.56202827535281963</c:v>
                </c:pt>
                <c:pt idx="13" formatCode="0.00">
                  <c:v>0.5578883133586513</c:v>
                </c:pt>
                <c:pt idx="14" formatCode="0.00">
                  <c:v>6.1082970981318097</c:v>
                </c:pt>
                <c:pt idx="15" formatCode="0.00">
                  <c:v>6.833936725421994</c:v>
                </c:pt>
                <c:pt idx="16" formatCode="0.00">
                  <c:v>6.5351910997374665</c:v>
                </c:pt>
                <c:pt idx="17" formatCode="0.00">
                  <c:v>5.2878575235209873</c:v>
                </c:pt>
                <c:pt idx="18" formatCode="0.00">
                  <c:v>1.4401983774185458</c:v>
                </c:pt>
                <c:pt idx="19" formatCode="0.00">
                  <c:v>1.222112777018481</c:v>
                </c:pt>
                <c:pt idx="20" formatCode="0.00">
                  <c:v>1.1339368379873913</c:v>
                </c:pt>
                <c:pt idx="21" formatCode="0.00">
                  <c:v>1.3724435782647633</c:v>
                </c:pt>
                <c:pt idx="22" formatCode="0.00">
                  <c:v>1.1324907506265944</c:v>
                </c:pt>
                <c:pt idx="23" formatCode="0.00">
                  <c:v>1.4409391889104941</c:v>
                </c:pt>
                <c:pt idx="24" formatCode="0.00">
                  <c:v>2.2170761568199642</c:v>
                </c:pt>
                <c:pt idx="25" formatCode="0.00">
                  <c:v>1.9065986112659985</c:v>
                </c:pt>
                <c:pt idx="26" formatCode="0.00">
                  <c:v>1.8557267111499656</c:v>
                </c:pt>
                <c:pt idx="27" formatCode="0.00">
                  <c:v>1.8514303416356477</c:v>
                </c:pt>
                <c:pt idx="28" formatCode="0.00">
                  <c:v>2.7416049384248318</c:v>
                </c:pt>
                <c:pt idx="29" formatCode="0.00">
                  <c:v>2.755296705432603</c:v>
                </c:pt>
                <c:pt idx="30" formatCode="0.00">
                  <c:v>2.9143873361193138</c:v>
                </c:pt>
                <c:pt idx="31" formatCode="0.00">
                  <c:v>2.7607261558744698</c:v>
                </c:pt>
                <c:pt idx="32" formatCode="0.00">
                  <c:v>1.2443945228892976</c:v>
                </c:pt>
                <c:pt idx="33" formatCode="0.00">
                  <c:v>1.4363127260988133</c:v>
                </c:pt>
                <c:pt idx="34" formatCode="0.00">
                  <c:v>1.7230079839559627</c:v>
                </c:pt>
              </c:numCache>
            </c:numRef>
          </c:yVal>
          <c:smooth val="0"/>
          <c:extLst>
            <c:ext xmlns:c16="http://schemas.microsoft.com/office/drawing/2014/chart" uri="{C3380CC4-5D6E-409C-BE32-E72D297353CC}">
              <c16:uniqueId val="{00000000-B40B-42EA-B51E-E344CD4B6FAF}"/>
            </c:ext>
          </c:extLst>
        </c:ser>
        <c:dLbls>
          <c:showLegendKey val="0"/>
          <c:showVal val="0"/>
          <c:showCatName val="0"/>
          <c:showSerName val="0"/>
          <c:showPercent val="0"/>
          <c:showBubbleSize val="0"/>
        </c:dLbls>
        <c:axId val="82815664"/>
        <c:axId val="82815184"/>
      </c:scatterChart>
      <c:valAx>
        <c:axId val="82815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Safety Cushion</a:t>
                </a:r>
                <a:r>
                  <a:rPr lang="en-GB" baseline="0"/>
                  <a:t> (%)</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5184"/>
        <c:crosses val="autoZero"/>
        <c:crossBetween val="midCat"/>
      </c:valAx>
      <c:valAx>
        <c:axId val="82815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Market Volatlity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5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4.png"/><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10" Type="http://schemas.openxmlformats.org/officeDocument/2006/relationships/chart" Target="../charts/chart8.xml"/><Relationship Id="rId4" Type="http://schemas.openxmlformats.org/officeDocument/2006/relationships/image" Target="../media/image5.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323850</xdr:colOff>
      <xdr:row>1</xdr:row>
      <xdr:rowOff>149225</xdr:rowOff>
    </xdr:from>
    <xdr:to>
      <xdr:col>11</xdr:col>
      <xdr:colOff>190500</xdr:colOff>
      <xdr:row>13</xdr:row>
      <xdr:rowOff>139700</xdr:rowOff>
    </xdr:to>
    <xdr:graphicFrame macro="">
      <xdr:nvGraphicFramePr>
        <xdr:cNvPr id="2" name="Chart 1">
          <a:extLst>
            <a:ext uri="{FF2B5EF4-FFF2-40B4-BE49-F238E27FC236}">
              <a16:creationId xmlns:a16="http://schemas.microsoft.com/office/drawing/2014/main" id="{368BCDB8-1B61-9FBA-995A-AE6D04067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336550</xdr:colOff>
      <xdr:row>15</xdr:row>
      <xdr:rowOff>79375</xdr:rowOff>
    </xdr:from>
    <xdr:to>
      <xdr:col>12</xdr:col>
      <xdr:colOff>31750</xdr:colOff>
      <xdr:row>30</xdr:row>
      <xdr:rowOff>60325</xdr:rowOff>
    </xdr:to>
    <xdr:graphicFrame macro="">
      <xdr:nvGraphicFramePr>
        <xdr:cNvPr id="3" name="Chart 2">
          <a:extLst>
            <a:ext uri="{FF2B5EF4-FFF2-40B4-BE49-F238E27FC236}">
              <a16:creationId xmlns:a16="http://schemas.microsoft.com/office/drawing/2014/main" id="{396D93B5-394F-92DE-A249-F3D826C07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336550</xdr:colOff>
      <xdr:row>31</xdr:row>
      <xdr:rowOff>57150</xdr:rowOff>
    </xdr:from>
    <xdr:to>
      <xdr:col>12</xdr:col>
      <xdr:colOff>31750</xdr:colOff>
      <xdr:row>46</xdr:row>
      <xdr:rowOff>38100</xdr:rowOff>
    </xdr:to>
    <xdr:graphicFrame macro="">
      <xdr:nvGraphicFramePr>
        <xdr:cNvPr id="4" name="Chart 3">
          <a:extLst>
            <a:ext uri="{FF2B5EF4-FFF2-40B4-BE49-F238E27FC236}">
              <a16:creationId xmlns:a16="http://schemas.microsoft.com/office/drawing/2014/main" id="{75B0AC38-2C8B-4F83-9CB2-1B4893E53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117475</xdr:colOff>
      <xdr:row>2</xdr:row>
      <xdr:rowOff>85725</xdr:rowOff>
    </xdr:from>
    <xdr:to>
      <xdr:col>11</xdr:col>
      <xdr:colOff>142875</xdr:colOff>
      <xdr:row>17</xdr:row>
      <xdr:rowOff>66675</xdr:rowOff>
    </xdr:to>
    <xdr:graphicFrame macro="">
      <xdr:nvGraphicFramePr>
        <xdr:cNvPr id="2" name="Chart 1">
          <a:extLst>
            <a:ext uri="{FF2B5EF4-FFF2-40B4-BE49-F238E27FC236}">
              <a16:creationId xmlns:a16="http://schemas.microsoft.com/office/drawing/2014/main" id="{B3FED034-53C7-D560-1C90-DC98C04D7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444500</xdr:colOff>
      <xdr:row>3</xdr:row>
      <xdr:rowOff>38100</xdr:rowOff>
    </xdr:from>
    <xdr:to>
      <xdr:col>14</xdr:col>
      <xdr:colOff>292100</xdr:colOff>
      <xdr:row>17</xdr:row>
      <xdr:rowOff>161925</xdr:rowOff>
    </xdr:to>
    <mc:AlternateContent xmlns:mc="http://schemas.openxmlformats.org/markup-compatibility/2006" xmlns:a14="http://schemas.microsoft.com/office/drawing/2010/main">
      <mc:Choice Requires="a14">
        <xdr:graphicFrame macro="">
          <xdr:nvGraphicFramePr>
            <xdr:cNvPr id="3" name="View">
              <a:extLst>
                <a:ext uri="{FF2B5EF4-FFF2-40B4-BE49-F238E27FC236}">
                  <a16:creationId xmlns:a16="http://schemas.microsoft.com/office/drawing/2014/main" id="{DE6C0790-D5EF-0BC3-B702-1CEE7C921DD7}"/>
                </a:ext>
              </a:extLst>
            </xdr:cNvPr>
            <xdr:cNvGraphicFramePr/>
          </xdr:nvGraphicFramePr>
          <xdr:xfrm>
            <a:off x="0" y="0"/>
            <a:ext cx="0" cy="0"/>
          </xdr:xfrm>
          <a:graphic>
            <a:graphicData uri="http://schemas.microsoft.com/office/drawing/2010/slicer">
              <sle:slicer xmlns:sle="http://schemas.microsoft.com/office/drawing/2010/slicer" name="View"/>
            </a:graphicData>
          </a:graphic>
        </xdr:graphicFrame>
      </mc:Choice>
      <mc:Fallback xmlns="">
        <xdr:sp macro="" textlink="">
          <xdr:nvSpPr>
            <xdr:cNvPr id="0" name=""/>
            <xdr:cNvSpPr>
              <a:spLocks noTextEdit="1"/>
            </xdr:cNvSpPr>
          </xdr:nvSpPr>
          <xdr:spPr>
            <a:xfrm>
              <a:off x="8636000" y="590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146756</xdr:colOff>
      <xdr:row>0</xdr:row>
      <xdr:rowOff>0</xdr:rowOff>
    </xdr:from>
    <xdr:to>
      <xdr:col>12</xdr:col>
      <xdr:colOff>216606</xdr:colOff>
      <xdr:row>2</xdr:row>
      <xdr:rowOff>12700</xdr:rowOff>
    </xdr:to>
    <xdr:grpSp>
      <xdr:nvGrpSpPr>
        <xdr:cNvPr id="31" name="Group 30">
          <a:extLst>
            <a:ext uri="{FF2B5EF4-FFF2-40B4-BE49-F238E27FC236}">
              <a16:creationId xmlns:a16="http://schemas.microsoft.com/office/drawing/2014/main" id="{04D9B71E-27B8-85E7-54E5-6FC04D352184}"/>
            </a:ext>
          </a:extLst>
        </xdr:cNvPr>
        <xdr:cNvGrpSpPr/>
      </xdr:nvGrpSpPr>
      <xdr:grpSpPr>
        <a:xfrm>
          <a:off x="146756" y="0"/>
          <a:ext cx="12762794" cy="351367"/>
          <a:chOff x="50800" y="50800"/>
          <a:chExt cx="11772900" cy="273050"/>
        </a:xfrm>
      </xdr:grpSpPr>
      <xdr:sp macro="" textlink="">
        <xdr:nvSpPr>
          <xdr:cNvPr id="4" name="Rectangle: Rounded Corners 3">
            <a:extLst>
              <a:ext uri="{FF2B5EF4-FFF2-40B4-BE49-F238E27FC236}">
                <a16:creationId xmlns:a16="http://schemas.microsoft.com/office/drawing/2014/main" id="{4A15C505-00F1-98FC-CFA7-5DF8E377BDCF}"/>
              </a:ext>
            </a:extLst>
          </xdr:cNvPr>
          <xdr:cNvSpPr/>
        </xdr:nvSpPr>
        <xdr:spPr>
          <a:xfrm>
            <a:off x="50800" y="50800"/>
            <a:ext cx="11772900" cy="273050"/>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 name="TextBox 4">
            <a:extLst>
              <a:ext uri="{FF2B5EF4-FFF2-40B4-BE49-F238E27FC236}">
                <a16:creationId xmlns:a16="http://schemas.microsoft.com/office/drawing/2014/main" id="{B220BD75-AEFE-160A-BA26-89A556100AE6}"/>
              </a:ext>
            </a:extLst>
          </xdr:cNvPr>
          <xdr:cNvSpPr txBox="1"/>
        </xdr:nvSpPr>
        <xdr:spPr>
          <a:xfrm>
            <a:off x="2838450" y="76200"/>
            <a:ext cx="6388100" cy="22860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a:solidFill>
                  <a:schemeClr val="bg1"/>
                </a:solidFill>
                <a:effectLst/>
                <a:latin typeface="Arial Black" panose="020B0A04020102020204" pitchFamily="34" charset="0"/>
                <a:ea typeface="+mn-ea"/>
                <a:cs typeface="+mn-cs"/>
              </a:rPr>
              <a:t>TSLA Market Risk &amp; Volatility Monitor</a:t>
            </a:r>
            <a:endParaRPr lang="en-GB" sz="2000">
              <a:solidFill>
                <a:schemeClr val="bg1"/>
              </a:solidFill>
              <a:latin typeface="Arial Black" panose="020B0A04020102020204" pitchFamily="34" charset="0"/>
            </a:endParaRPr>
          </a:p>
        </xdr:txBody>
      </xdr:sp>
    </xdr:grpSp>
    <xdr:clientData/>
  </xdr:twoCellAnchor>
  <xdr:twoCellAnchor>
    <xdr:from>
      <xdr:col>0</xdr:col>
      <xdr:colOff>203906</xdr:colOff>
      <xdr:row>2</xdr:row>
      <xdr:rowOff>127000</xdr:rowOff>
    </xdr:from>
    <xdr:to>
      <xdr:col>2</xdr:col>
      <xdr:colOff>857956</xdr:colOff>
      <xdr:row>6</xdr:row>
      <xdr:rowOff>120650</xdr:rowOff>
    </xdr:to>
    <xdr:grpSp>
      <xdr:nvGrpSpPr>
        <xdr:cNvPr id="9" name="Group 8">
          <a:extLst>
            <a:ext uri="{FF2B5EF4-FFF2-40B4-BE49-F238E27FC236}">
              <a16:creationId xmlns:a16="http://schemas.microsoft.com/office/drawing/2014/main" id="{1E6B904A-11D4-AEBD-9F61-971BBE2DE61A}"/>
            </a:ext>
          </a:extLst>
        </xdr:cNvPr>
        <xdr:cNvGrpSpPr/>
      </xdr:nvGrpSpPr>
      <xdr:grpSpPr>
        <a:xfrm>
          <a:off x="203906" y="465667"/>
          <a:ext cx="2791883" cy="670983"/>
          <a:chOff x="69850" y="844550"/>
          <a:chExt cx="2616200" cy="730250"/>
        </a:xfrm>
      </xdr:grpSpPr>
      <xdr:sp macro="" textlink="">
        <xdr:nvSpPr>
          <xdr:cNvPr id="6" name="Rectangle: Rounded Corners 5">
            <a:extLst>
              <a:ext uri="{FF2B5EF4-FFF2-40B4-BE49-F238E27FC236}">
                <a16:creationId xmlns:a16="http://schemas.microsoft.com/office/drawing/2014/main" id="{BB20DA06-2FC5-D694-6F3E-9250C140A612}"/>
              </a:ext>
            </a:extLst>
          </xdr:cNvPr>
          <xdr:cNvSpPr/>
        </xdr:nvSpPr>
        <xdr:spPr>
          <a:xfrm>
            <a:off x="69850" y="844550"/>
            <a:ext cx="2616200" cy="7302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60752FF4-94C9-8DA2-F748-405AA887EF8E}"/>
              </a:ext>
            </a:extLst>
          </xdr:cNvPr>
          <xdr:cNvSpPr txBox="1"/>
        </xdr:nvSpPr>
        <xdr:spPr>
          <a:xfrm>
            <a:off x="82550" y="1231900"/>
            <a:ext cx="25781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latin typeface="Arial" panose="020B0604020202020204" pitchFamily="34" charset="0"/>
                <a:cs typeface="Arial" panose="020B0604020202020204" pitchFamily="34" charset="0"/>
              </a:rPr>
              <a:t>Current Price</a:t>
            </a:r>
          </a:p>
          <a:p>
            <a:endParaRPr lang="en-GB" sz="1100"/>
          </a:p>
        </xdr:txBody>
      </xdr:sp>
      <xdr:sp macro="" textlink="">
        <xdr:nvSpPr>
          <xdr:cNvPr id="8" name="TextBox 7">
            <a:extLst>
              <a:ext uri="{FF2B5EF4-FFF2-40B4-BE49-F238E27FC236}">
                <a16:creationId xmlns:a16="http://schemas.microsoft.com/office/drawing/2014/main" id="{745B8A1E-AC88-03C1-3876-8FF74CFD8786}"/>
              </a:ext>
            </a:extLst>
          </xdr:cNvPr>
          <xdr:cNvSpPr txBox="1"/>
        </xdr:nvSpPr>
        <xdr:spPr>
          <a:xfrm>
            <a:off x="76200" y="850900"/>
            <a:ext cx="26035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i="0" u="none" strike="noStrike">
                <a:solidFill>
                  <a:schemeClr val="accent2">
                    <a:lumMod val="75000"/>
                  </a:schemeClr>
                </a:solidFill>
                <a:effectLst/>
                <a:latin typeface="Arial Black" panose="020B0A04020102020204" pitchFamily="34" charset="0"/>
                <a:ea typeface="+mn-ea"/>
                <a:cs typeface="+mn-cs"/>
              </a:rPr>
              <a:t>$396.56</a:t>
            </a:r>
            <a:r>
              <a:rPr lang="en-GB" sz="1800">
                <a:solidFill>
                  <a:schemeClr val="accent2">
                    <a:lumMod val="75000"/>
                  </a:schemeClr>
                </a:solidFill>
                <a:effectLst/>
                <a:latin typeface="Arial Black" panose="020B0A04020102020204" pitchFamily="34" charset="0"/>
              </a:rPr>
              <a:t> </a:t>
            </a:r>
            <a:endParaRPr lang="en-GB" sz="1800">
              <a:solidFill>
                <a:schemeClr val="accent2">
                  <a:lumMod val="75000"/>
                </a:schemeClr>
              </a:solidFill>
              <a:latin typeface="Arial Black" panose="020B0A04020102020204" pitchFamily="34" charset="0"/>
            </a:endParaRPr>
          </a:p>
        </xdr:txBody>
      </xdr:sp>
      <xdr:pic>
        <xdr:nvPicPr>
          <xdr:cNvPr id="10" name="Graphic 9" descr="Dollar with solid fill">
            <a:extLst>
              <a:ext uri="{FF2B5EF4-FFF2-40B4-BE49-F238E27FC236}">
                <a16:creationId xmlns:a16="http://schemas.microsoft.com/office/drawing/2014/main" id="{18D44222-DEAA-17CD-BC6F-6A931985F0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965200"/>
            <a:ext cx="476250" cy="476250"/>
          </a:xfrm>
          <a:prstGeom prst="rect">
            <a:avLst/>
          </a:prstGeom>
        </xdr:spPr>
      </xdr:pic>
    </xdr:grpSp>
    <xdr:clientData/>
  </xdr:twoCellAnchor>
  <xdr:twoCellAnchor>
    <xdr:from>
      <xdr:col>2</xdr:col>
      <xdr:colOff>1423106</xdr:colOff>
      <xdr:row>7</xdr:row>
      <xdr:rowOff>12700</xdr:rowOff>
    </xdr:from>
    <xdr:to>
      <xdr:col>4</xdr:col>
      <xdr:colOff>1562806</xdr:colOff>
      <xdr:row>10</xdr:row>
      <xdr:rowOff>38100</xdr:rowOff>
    </xdr:to>
    <xdr:grpSp>
      <xdr:nvGrpSpPr>
        <xdr:cNvPr id="23" name="Group 22">
          <a:extLst>
            <a:ext uri="{FF2B5EF4-FFF2-40B4-BE49-F238E27FC236}">
              <a16:creationId xmlns:a16="http://schemas.microsoft.com/office/drawing/2014/main" id="{74D42101-2BAD-0923-70CC-E0918FF22FD0}"/>
            </a:ext>
          </a:extLst>
        </xdr:cNvPr>
        <xdr:cNvGrpSpPr/>
      </xdr:nvGrpSpPr>
      <xdr:grpSpPr>
        <a:xfrm>
          <a:off x="3560939" y="1339144"/>
          <a:ext cx="2834923" cy="702734"/>
          <a:chOff x="3060700" y="863600"/>
          <a:chExt cx="2616200" cy="730250"/>
        </a:xfrm>
      </xdr:grpSpPr>
      <xdr:sp macro="" textlink="">
        <xdr:nvSpPr>
          <xdr:cNvPr id="11" name="Rectangle: Rounded Corners 10">
            <a:extLst>
              <a:ext uri="{FF2B5EF4-FFF2-40B4-BE49-F238E27FC236}">
                <a16:creationId xmlns:a16="http://schemas.microsoft.com/office/drawing/2014/main" id="{6412C0C7-5C51-AEA6-51D0-AACCA292F74A}"/>
              </a:ext>
            </a:extLst>
          </xdr:cNvPr>
          <xdr:cNvSpPr/>
        </xdr:nvSpPr>
        <xdr:spPr>
          <a:xfrm>
            <a:off x="3060700" y="863600"/>
            <a:ext cx="2616200" cy="7302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sp macro="" textlink="">
        <xdr:nvSpPr>
          <xdr:cNvPr id="12" name="TextBox 11">
            <a:extLst>
              <a:ext uri="{FF2B5EF4-FFF2-40B4-BE49-F238E27FC236}">
                <a16:creationId xmlns:a16="http://schemas.microsoft.com/office/drawing/2014/main" id="{96E5DAA7-A644-1F41-EFFC-12353BDCF643}"/>
              </a:ext>
            </a:extLst>
          </xdr:cNvPr>
          <xdr:cNvSpPr txBox="1"/>
        </xdr:nvSpPr>
        <xdr:spPr>
          <a:xfrm>
            <a:off x="3340100" y="1250950"/>
            <a:ext cx="23114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latin typeface="Arial" panose="020B0604020202020204" pitchFamily="34" charset="0"/>
                <a:cs typeface="Arial" panose="020B0604020202020204" pitchFamily="34" charset="0"/>
              </a:rPr>
              <a:t>Risk Status</a:t>
            </a:r>
          </a:p>
          <a:p>
            <a:endParaRPr lang="en-GB" sz="1100"/>
          </a:p>
        </xdr:txBody>
      </xdr:sp>
      <xdr:sp macro="" textlink="">
        <xdr:nvSpPr>
          <xdr:cNvPr id="13" name="TextBox 12">
            <a:extLst>
              <a:ext uri="{FF2B5EF4-FFF2-40B4-BE49-F238E27FC236}">
                <a16:creationId xmlns:a16="http://schemas.microsoft.com/office/drawing/2014/main" id="{D5EDB4BB-6D37-231A-00F7-47539EF63F82}"/>
              </a:ext>
            </a:extLst>
          </xdr:cNvPr>
          <xdr:cNvSpPr txBox="1"/>
        </xdr:nvSpPr>
        <xdr:spPr>
          <a:xfrm>
            <a:off x="3314700" y="869950"/>
            <a:ext cx="23558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i="0" u="none" strike="noStrike">
                <a:solidFill>
                  <a:schemeClr val="accent2">
                    <a:lumMod val="75000"/>
                  </a:schemeClr>
                </a:solidFill>
                <a:effectLst/>
                <a:latin typeface="Arial Black" panose="020B0A04020102020204" pitchFamily="34" charset="0"/>
                <a:ea typeface="+mn-ea"/>
                <a:cs typeface="+mn-cs"/>
              </a:rPr>
              <a:t>High</a:t>
            </a:r>
            <a:endParaRPr lang="en-GB" sz="1800">
              <a:solidFill>
                <a:schemeClr val="accent2">
                  <a:lumMod val="75000"/>
                </a:schemeClr>
              </a:solidFill>
              <a:latin typeface="Arial Black" panose="020B0A04020102020204" pitchFamily="34" charset="0"/>
            </a:endParaRPr>
          </a:p>
        </xdr:txBody>
      </xdr:sp>
      <xdr:pic>
        <xdr:nvPicPr>
          <xdr:cNvPr id="14" name="Graphic 13" descr="Radioactive with solid fill">
            <a:extLst>
              <a:ext uri="{FF2B5EF4-FFF2-40B4-BE49-F238E27FC236}">
                <a16:creationId xmlns:a16="http://schemas.microsoft.com/office/drawing/2014/main" id="{51BD127D-4513-BE67-9814-5450A5EA9E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086100" y="984250"/>
            <a:ext cx="476250" cy="476250"/>
          </a:xfrm>
          <a:prstGeom prst="rect">
            <a:avLst/>
          </a:prstGeom>
        </xdr:spPr>
      </xdr:pic>
    </xdr:grpSp>
    <xdr:clientData/>
  </xdr:twoCellAnchor>
  <xdr:twoCellAnchor>
    <xdr:from>
      <xdr:col>2</xdr:col>
      <xdr:colOff>1423106</xdr:colOff>
      <xdr:row>2</xdr:row>
      <xdr:rowOff>127000</xdr:rowOff>
    </xdr:from>
    <xdr:to>
      <xdr:col>4</xdr:col>
      <xdr:colOff>1562806</xdr:colOff>
      <xdr:row>6</xdr:row>
      <xdr:rowOff>120650</xdr:rowOff>
    </xdr:to>
    <xdr:grpSp>
      <xdr:nvGrpSpPr>
        <xdr:cNvPr id="32" name="Group 31">
          <a:extLst>
            <a:ext uri="{FF2B5EF4-FFF2-40B4-BE49-F238E27FC236}">
              <a16:creationId xmlns:a16="http://schemas.microsoft.com/office/drawing/2014/main" id="{B2160F66-E29B-C9A4-A04B-7409F6E8B009}"/>
            </a:ext>
          </a:extLst>
        </xdr:cNvPr>
        <xdr:cNvGrpSpPr/>
      </xdr:nvGrpSpPr>
      <xdr:grpSpPr>
        <a:xfrm>
          <a:off x="3560939" y="465667"/>
          <a:ext cx="2834923" cy="670983"/>
          <a:chOff x="9112250" y="495300"/>
          <a:chExt cx="2616200" cy="730250"/>
        </a:xfrm>
      </xdr:grpSpPr>
      <xdr:sp macro="" textlink="">
        <xdr:nvSpPr>
          <xdr:cNvPr id="15" name="Rectangle: Rounded Corners 14">
            <a:extLst>
              <a:ext uri="{FF2B5EF4-FFF2-40B4-BE49-F238E27FC236}">
                <a16:creationId xmlns:a16="http://schemas.microsoft.com/office/drawing/2014/main" id="{0E1EB649-1341-82E0-D69C-D32BAF0A154A}"/>
              </a:ext>
            </a:extLst>
          </xdr:cNvPr>
          <xdr:cNvSpPr/>
        </xdr:nvSpPr>
        <xdr:spPr>
          <a:xfrm>
            <a:off x="9112250" y="495300"/>
            <a:ext cx="2616200" cy="7302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sp macro="" textlink="">
        <xdr:nvSpPr>
          <xdr:cNvPr id="16" name="TextBox 15">
            <a:extLst>
              <a:ext uri="{FF2B5EF4-FFF2-40B4-BE49-F238E27FC236}">
                <a16:creationId xmlns:a16="http://schemas.microsoft.com/office/drawing/2014/main" id="{A246E623-F18E-EC2C-77BD-B4A30453DA1C}"/>
              </a:ext>
            </a:extLst>
          </xdr:cNvPr>
          <xdr:cNvSpPr txBox="1"/>
        </xdr:nvSpPr>
        <xdr:spPr>
          <a:xfrm>
            <a:off x="9575800" y="882650"/>
            <a:ext cx="21272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latin typeface="Arial" panose="020B0604020202020204" pitchFamily="34" charset="0"/>
                <a:cs typeface="Arial" panose="020B0604020202020204" pitchFamily="34" charset="0"/>
              </a:rPr>
              <a:t>Current Volatility</a:t>
            </a:r>
          </a:p>
          <a:p>
            <a:endParaRPr lang="en-GB" sz="1100"/>
          </a:p>
        </xdr:txBody>
      </xdr:sp>
      <xdr:sp macro="" textlink="">
        <xdr:nvSpPr>
          <xdr:cNvPr id="17" name="TextBox 16">
            <a:extLst>
              <a:ext uri="{FF2B5EF4-FFF2-40B4-BE49-F238E27FC236}">
                <a16:creationId xmlns:a16="http://schemas.microsoft.com/office/drawing/2014/main" id="{7BD36E93-06FC-8A90-8EBA-CB1C738A516C}"/>
              </a:ext>
            </a:extLst>
          </xdr:cNvPr>
          <xdr:cNvSpPr txBox="1"/>
        </xdr:nvSpPr>
        <xdr:spPr>
          <a:xfrm>
            <a:off x="9594850" y="501650"/>
            <a:ext cx="2127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0" i="0" u="none" strike="noStrike">
                <a:solidFill>
                  <a:schemeClr val="accent2">
                    <a:lumMod val="75000"/>
                  </a:schemeClr>
                </a:solidFill>
                <a:effectLst/>
                <a:latin typeface="Arial Black" panose="020B0A04020102020204" pitchFamily="34" charset="0"/>
                <a:ea typeface="+mn-ea"/>
                <a:cs typeface="+mn-cs"/>
              </a:rPr>
              <a:t>1.72</a:t>
            </a:r>
            <a:endParaRPr lang="en-GB" sz="1800">
              <a:solidFill>
                <a:schemeClr val="accent2">
                  <a:lumMod val="75000"/>
                </a:schemeClr>
              </a:solidFill>
              <a:latin typeface="Arial Black" panose="020B0A04020102020204" pitchFamily="34" charset="0"/>
            </a:endParaRPr>
          </a:p>
        </xdr:txBody>
      </xdr:sp>
      <xdr:pic>
        <xdr:nvPicPr>
          <xdr:cNvPr id="18" name="Graphic 17" descr="Sort with solid fill">
            <a:extLst>
              <a:ext uri="{FF2B5EF4-FFF2-40B4-BE49-F238E27FC236}">
                <a16:creationId xmlns:a16="http://schemas.microsoft.com/office/drawing/2014/main" id="{1DA91CF0-D514-9576-81A5-93C08C4EDB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9137650" y="615950"/>
            <a:ext cx="476250" cy="476250"/>
          </a:xfrm>
          <a:prstGeom prst="rect">
            <a:avLst/>
          </a:prstGeom>
        </xdr:spPr>
      </xdr:pic>
    </xdr:grpSp>
    <xdr:clientData/>
  </xdr:twoCellAnchor>
  <xdr:twoCellAnchor>
    <xdr:from>
      <xdr:col>0</xdr:col>
      <xdr:colOff>203906</xdr:colOff>
      <xdr:row>7</xdr:row>
      <xdr:rowOff>12700</xdr:rowOff>
    </xdr:from>
    <xdr:to>
      <xdr:col>2</xdr:col>
      <xdr:colOff>857956</xdr:colOff>
      <xdr:row>10</xdr:row>
      <xdr:rowOff>38100</xdr:rowOff>
    </xdr:to>
    <xdr:grpSp>
      <xdr:nvGrpSpPr>
        <xdr:cNvPr id="29" name="Group 28">
          <a:extLst>
            <a:ext uri="{FF2B5EF4-FFF2-40B4-BE49-F238E27FC236}">
              <a16:creationId xmlns:a16="http://schemas.microsoft.com/office/drawing/2014/main" id="{5CF83C75-6AD5-DB2A-220C-D9BECBD385E1}"/>
            </a:ext>
          </a:extLst>
        </xdr:cNvPr>
        <xdr:cNvGrpSpPr/>
      </xdr:nvGrpSpPr>
      <xdr:grpSpPr>
        <a:xfrm>
          <a:off x="203906" y="1339144"/>
          <a:ext cx="2791883" cy="702734"/>
          <a:chOff x="6483350" y="476250"/>
          <a:chExt cx="2616200" cy="730250"/>
        </a:xfrm>
      </xdr:grpSpPr>
      <xdr:sp macro="" textlink="">
        <xdr:nvSpPr>
          <xdr:cNvPr id="19" name="Rectangle: Rounded Corners 18">
            <a:extLst>
              <a:ext uri="{FF2B5EF4-FFF2-40B4-BE49-F238E27FC236}">
                <a16:creationId xmlns:a16="http://schemas.microsoft.com/office/drawing/2014/main" id="{B0F20570-D4AF-1DB4-CAEC-E12350ABA9C1}"/>
              </a:ext>
            </a:extLst>
          </xdr:cNvPr>
          <xdr:cNvSpPr/>
        </xdr:nvSpPr>
        <xdr:spPr>
          <a:xfrm>
            <a:off x="6483350" y="476250"/>
            <a:ext cx="2616200" cy="7302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sp macro="" textlink="">
        <xdr:nvSpPr>
          <xdr:cNvPr id="20" name="TextBox 19">
            <a:extLst>
              <a:ext uri="{FF2B5EF4-FFF2-40B4-BE49-F238E27FC236}">
                <a16:creationId xmlns:a16="http://schemas.microsoft.com/office/drawing/2014/main" id="{CB4D2D18-B2E4-7E6E-EA90-03AA9F53869B}"/>
              </a:ext>
            </a:extLst>
          </xdr:cNvPr>
          <xdr:cNvSpPr txBox="1"/>
        </xdr:nvSpPr>
        <xdr:spPr>
          <a:xfrm>
            <a:off x="7137400" y="863600"/>
            <a:ext cx="19367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a:solidFill>
                  <a:schemeClr val="tx1"/>
                </a:solidFill>
                <a:latin typeface="Arial" panose="020B0604020202020204" pitchFamily="34" charset="0"/>
                <a:cs typeface="Arial" panose="020B0604020202020204" pitchFamily="34" charset="0"/>
              </a:rPr>
              <a:t>Safety Cushion</a:t>
            </a:r>
          </a:p>
          <a:p>
            <a:endParaRPr lang="en-GB" sz="1100"/>
          </a:p>
        </xdr:txBody>
      </xdr:sp>
      <xdr:sp macro="" textlink="">
        <xdr:nvSpPr>
          <xdr:cNvPr id="21" name="TextBox 20">
            <a:extLst>
              <a:ext uri="{FF2B5EF4-FFF2-40B4-BE49-F238E27FC236}">
                <a16:creationId xmlns:a16="http://schemas.microsoft.com/office/drawing/2014/main" id="{458ECFEB-17BC-CA71-FD41-D8EA2ECBF999}"/>
              </a:ext>
            </a:extLst>
          </xdr:cNvPr>
          <xdr:cNvSpPr txBox="1"/>
        </xdr:nvSpPr>
        <xdr:spPr>
          <a:xfrm>
            <a:off x="7219950" y="482600"/>
            <a:ext cx="18732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a:solidFill>
                  <a:schemeClr val="accent2">
                    <a:lumMod val="75000"/>
                  </a:schemeClr>
                </a:solidFill>
                <a:latin typeface="Arial Black" panose="020B0A04020102020204" pitchFamily="34" charset="0"/>
              </a:rPr>
              <a:t>1.54%</a:t>
            </a:r>
          </a:p>
        </xdr:txBody>
      </xdr:sp>
      <xdr:sp macro="" textlink="'fiveday data '!P42">
        <xdr:nvSpPr>
          <xdr:cNvPr id="27" name="Flowchart: Connector 26">
            <a:extLst>
              <a:ext uri="{FF2B5EF4-FFF2-40B4-BE49-F238E27FC236}">
                <a16:creationId xmlns:a16="http://schemas.microsoft.com/office/drawing/2014/main" id="{F9FB498F-9AB4-17E7-0A28-50708BBE798C}"/>
              </a:ext>
            </a:extLst>
          </xdr:cNvPr>
          <xdr:cNvSpPr/>
        </xdr:nvSpPr>
        <xdr:spPr>
          <a:xfrm>
            <a:off x="6604000" y="577850"/>
            <a:ext cx="533400" cy="5207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277F60D-1623-40C6-8EF3-7516748EC81F}" type="TxLink">
              <a:rPr lang="en-US" sz="600" b="0" i="0" u="none" strike="noStrike">
                <a:solidFill>
                  <a:schemeClr val="bg1"/>
                </a:solidFill>
                <a:latin typeface="Calibri"/>
                <a:ea typeface="Calibri"/>
                <a:cs typeface="Calibri"/>
              </a:rPr>
              <a:pPr algn="ctr"/>
              <a:t> </a:t>
            </a:fld>
            <a:endParaRPr lang="en-GB" sz="600" b="0">
              <a:solidFill>
                <a:schemeClr val="bg1"/>
              </a:solidFill>
            </a:endParaRPr>
          </a:p>
        </xdr:txBody>
      </xdr:sp>
    </xdr:grpSp>
    <xdr:clientData/>
  </xdr:twoCellAnchor>
  <xdr:twoCellAnchor>
    <xdr:from>
      <xdr:col>5</xdr:col>
      <xdr:colOff>591256</xdr:colOff>
      <xdr:row>2</xdr:row>
      <xdr:rowOff>127000</xdr:rowOff>
    </xdr:from>
    <xdr:to>
      <xdr:col>12</xdr:col>
      <xdr:colOff>203906</xdr:colOff>
      <xdr:row>10</xdr:row>
      <xdr:rowOff>63500</xdr:rowOff>
    </xdr:to>
    <xdr:grpSp>
      <xdr:nvGrpSpPr>
        <xdr:cNvPr id="26" name="Group 25">
          <a:extLst>
            <a:ext uri="{FF2B5EF4-FFF2-40B4-BE49-F238E27FC236}">
              <a16:creationId xmlns:a16="http://schemas.microsoft.com/office/drawing/2014/main" id="{69AB2101-C007-4CBD-07A4-436C870AFF5A}"/>
            </a:ext>
          </a:extLst>
        </xdr:cNvPr>
        <xdr:cNvGrpSpPr/>
      </xdr:nvGrpSpPr>
      <xdr:grpSpPr>
        <a:xfrm>
          <a:off x="7152923" y="465667"/>
          <a:ext cx="5743927" cy="1601611"/>
          <a:chOff x="9042400" y="552450"/>
          <a:chExt cx="3422650" cy="1628551"/>
        </a:xfrm>
      </xdr:grpSpPr>
      <xdr:sp macro="" textlink="">
        <xdr:nvSpPr>
          <xdr:cNvPr id="24" name="Rectangle: Rounded Corners 23">
            <a:extLst>
              <a:ext uri="{FF2B5EF4-FFF2-40B4-BE49-F238E27FC236}">
                <a16:creationId xmlns:a16="http://schemas.microsoft.com/office/drawing/2014/main" id="{267053C8-2D74-D8BE-2A44-1A0ECF139D87}"/>
              </a:ext>
            </a:extLst>
          </xdr:cNvPr>
          <xdr:cNvSpPr/>
        </xdr:nvSpPr>
        <xdr:spPr>
          <a:xfrm>
            <a:off x="9042400" y="565150"/>
            <a:ext cx="3416300" cy="16065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sp macro="" textlink="">
        <xdr:nvSpPr>
          <xdr:cNvPr id="25" name="TextBox 24">
            <a:extLst>
              <a:ext uri="{FF2B5EF4-FFF2-40B4-BE49-F238E27FC236}">
                <a16:creationId xmlns:a16="http://schemas.microsoft.com/office/drawing/2014/main" id="{46E8D3C3-B9E4-E4E1-C4D4-763EFC99BF4D}"/>
              </a:ext>
            </a:extLst>
          </xdr:cNvPr>
          <xdr:cNvSpPr txBox="1"/>
        </xdr:nvSpPr>
        <xdr:spPr>
          <a:xfrm>
            <a:off x="9048750" y="552450"/>
            <a:ext cx="3416300" cy="162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400" b="1"/>
              <a:t>Key Observation: March 2nd Event</a:t>
            </a:r>
          </a:p>
          <a:p>
            <a:endParaRPr lang="en-GB" sz="1400"/>
          </a:p>
          <a:p>
            <a:r>
              <a:rPr lang="en-GB" sz="1400" b="1"/>
              <a:t>Signal:</a:t>
            </a:r>
            <a:r>
              <a:rPr lang="en-GB" sz="1400"/>
              <a:t> 2% price decline (High Risk status).</a:t>
            </a:r>
          </a:p>
          <a:p>
            <a:r>
              <a:rPr lang="en-GB" sz="1400" b="1"/>
              <a:t>Verification:</a:t>
            </a:r>
            <a:r>
              <a:rPr lang="en-GB" sz="1400"/>
              <a:t> Volatility 38% below 5-day avg.</a:t>
            </a:r>
          </a:p>
          <a:p>
            <a:r>
              <a:rPr lang="en-GB" sz="1400" b="1"/>
              <a:t>Impact:</a:t>
            </a:r>
            <a:r>
              <a:rPr lang="en-GB" sz="1400"/>
              <a:t> Confirmed price stabilization; avoided unnecessary trade execution</a:t>
            </a:r>
          </a:p>
        </xdr:txBody>
      </xdr:sp>
    </xdr:grpSp>
    <xdr:clientData/>
  </xdr:twoCellAnchor>
  <xdr:twoCellAnchor>
    <xdr:from>
      <xdr:col>0</xdr:col>
      <xdr:colOff>203906</xdr:colOff>
      <xdr:row>27</xdr:row>
      <xdr:rowOff>44450</xdr:rowOff>
    </xdr:from>
    <xdr:to>
      <xdr:col>4</xdr:col>
      <xdr:colOff>1524176</xdr:colOff>
      <xdr:row>42</xdr:row>
      <xdr:rowOff>134939</xdr:rowOff>
    </xdr:to>
    <xdr:graphicFrame macro="">
      <xdr:nvGraphicFramePr>
        <xdr:cNvPr id="3" name="Chart 2">
          <a:extLst>
            <a:ext uri="{FF2B5EF4-FFF2-40B4-BE49-F238E27FC236}">
              <a16:creationId xmlns:a16="http://schemas.microsoft.com/office/drawing/2014/main" id="{69F20A1A-A233-4AE2-B533-8EAE744A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433566</xdr:colOff>
      <xdr:row>27</xdr:row>
      <xdr:rowOff>44450</xdr:rowOff>
    </xdr:from>
    <xdr:to>
      <xdr:col>12</xdr:col>
      <xdr:colOff>34397</xdr:colOff>
      <xdr:row>42</xdr:row>
      <xdr:rowOff>147638</xdr:rowOff>
    </xdr:to>
    <xdr:graphicFrame macro="">
      <xdr:nvGraphicFramePr>
        <xdr:cNvPr id="28" name="Chart 27">
          <a:extLst>
            <a:ext uri="{FF2B5EF4-FFF2-40B4-BE49-F238E27FC236}">
              <a16:creationId xmlns:a16="http://schemas.microsoft.com/office/drawing/2014/main" id="{8A665F70-4079-41B9-A02F-C4262FA5F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203906</xdr:colOff>
      <xdr:row>11</xdr:row>
      <xdr:rowOff>76200</xdr:rowOff>
    </xdr:from>
    <xdr:to>
      <xdr:col>9</xdr:col>
      <xdr:colOff>946856</xdr:colOff>
      <xdr:row>25</xdr:row>
      <xdr:rowOff>156633</xdr:rowOff>
    </xdr:to>
    <xdr:graphicFrame macro="">
      <xdr:nvGraphicFramePr>
        <xdr:cNvPr id="2" name="Chart 1">
          <a:extLst>
            <a:ext uri="{FF2B5EF4-FFF2-40B4-BE49-F238E27FC236}">
              <a16:creationId xmlns:a16="http://schemas.microsoft.com/office/drawing/2014/main" id="{26F0E89C-E323-49DE-9E35-5617371DA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1048456</xdr:colOff>
      <xdr:row>11</xdr:row>
      <xdr:rowOff>82552</xdr:rowOff>
    </xdr:from>
    <xdr:to>
      <xdr:col>11</xdr:col>
      <xdr:colOff>600781</xdr:colOff>
      <xdr:row>25</xdr:row>
      <xdr:rowOff>158222</xdr:rowOff>
    </xdr:to>
    <mc:AlternateContent xmlns:mc="http://schemas.openxmlformats.org/markup-compatibility/2006" xmlns:a14="http://schemas.microsoft.com/office/drawing/2010/main">
      <mc:Choice Requires="a14">
        <xdr:graphicFrame macro="">
          <xdr:nvGraphicFramePr>
            <xdr:cNvPr id="30" name="View 1">
              <a:extLst>
                <a:ext uri="{FF2B5EF4-FFF2-40B4-BE49-F238E27FC236}">
                  <a16:creationId xmlns:a16="http://schemas.microsoft.com/office/drawing/2014/main" id="{9CB31011-9752-4D8E-ADD4-E835B95BDF5A}"/>
                </a:ext>
              </a:extLst>
            </xdr:cNvPr>
            <xdr:cNvGraphicFramePr/>
          </xdr:nvGraphicFramePr>
          <xdr:xfrm>
            <a:off x="0" y="0"/>
            <a:ext cx="0" cy="0"/>
          </xdr:xfrm>
          <a:graphic>
            <a:graphicData uri="http://schemas.microsoft.com/office/drawing/2010/slicer">
              <sle:slicer xmlns:sle="http://schemas.microsoft.com/office/drawing/2010/slicer" name="View 1"/>
            </a:graphicData>
          </a:graphic>
        </xdr:graphicFrame>
      </mc:Choice>
      <mc:Fallback xmlns="">
        <xdr:sp macro="" textlink="">
          <xdr:nvSpPr>
            <xdr:cNvPr id="0" name=""/>
            <xdr:cNvSpPr>
              <a:spLocks noTextEdit="1"/>
            </xdr:cNvSpPr>
          </xdr:nvSpPr>
          <xdr:spPr>
            <a:xfrm>
              <a:off x="10792178" y="2312108"/>
              <a:ext cx="1838325" cy="32436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203906</xdr:colOff>
      <xdr:row>43</xdr:row>
      <xdr:rowOff>144991</xdr:rowOff>
    </xdr:from>
    <xdr:to>
      <xdr:col>12</xdr:col>
      <xdr:colOff>35455</xdr:colOff>
      <xdr:row>71</xdr:row>
      <xdr:rowOff>163512</xdr:rowOff>
    </xdr:to>
    <xdr:graphicFrame macro="">
      <xdr:nvGraphicFramePr>
        <xdr:cNvPr id="33" name="Chart 32">
          <a:extLst>
            <a:ext uri="{FF2B5EF4-FFF2-40B4-BE49-F238E27FC236}">
              <a16:creationId xmlns:a16="http://schemas.microsoft.com/office/drawing/2014/main" id="{96E0B071-3704-4AE5-9BF8-6A18FB3A9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ceana O'Dean" refreshedDate="46097.496941550926" createdVersion="8" refreshedVersion="8" minRefreshableVersion="3" recordCount="35" xr:uid="{89C40FD7-24FC-4316-910A-FCB01990E23C}">
  <cacheSource type="worksheet">
    <worksheetSource name="Table1"/>
  </cacheSource>
  <cacheFields count="14">
    <cacheField name="Datetime" numFmtId="164">
      <sharedItems containsSemiMixedTypes="0" containsNonDate="0" containsDate="1" containsString="0" minDate="2026-03-02T14:30:00" maxDate="2026-03-06T20:30:00" count="35">
        <d v="2026-03-02T14:30:00"/>
        <d v="2026-03-02T15:30:00"/>
        <d v="2026-03-02T16:30:00"/>
        <d v="2026-03-02T17:30:00"/>
        <d v="2026-03-02T18:30:00"/>
        <d v="2026-03-02T19:30:00"/>
        <d v="2026-03-02T20:30:00"/>
        <d v="2026-03-03T14:30:00"/>
        <d v="2026-03-03T15:30:00"/>
        <d v="2026-03-03T16:30:00"/>
        <d v="2026-03-03T17:30:00"/>
        <d v="2026-03-03T18:30:00"/>
        <d v="2026-03-03T19:30:00"/>
        <d v="2026-03-03T20:30:00"/>
        <d v="2026-03-04T14:30:00"/>
        <d v="2026-03-04T15:30:00"/>
        <d v="2026-03-04T16:30:00"/>
        <d v="2026-03-04T17:30:00"/>
        <d v="2026-03-04T18:30:00"/>
        <d v="2026-03-04T19:30:00"/>
        <d v="2026-03-04T20:30:00"/>
        <d v="2026-03-05T14:30:00"/>
        <d v="2026-03-05T15:30:00"/>
        <d v="2026-03-05T16:30:00"/>
        <d v="2026-03-05T17:30:00"/>
        <d v="2026-03-05T18:30:00"/>
        <d v="2026-03-05T19:30:00"/>
        <d v="2026-03-05T20:30:00"/>
        <d v="2026-03-06T14:30:00"/>
        <d v="2026-03-06T15:30:00"/>
        <d v="2026-03-06T16:30:00"/>
        <d v="2026-03-06T17:30:00"/>
        <d v="2026-03-06T18:30:00"/>
        <d v="2026-03-06T19:30:00"/>
        <d v="2026-03-06T20:30:00"/>
      </sharedItems>
      <fieldGroup par="13"/>
    </cacheField>
    <cacheField name="Close" numFmtId="2">
      <sharedItems containsSemiMixedTypes="0" containsString="0" containsNumber="1" minValue="386.72000122070313" maxValue="407.67001342773438"/>
    </cacheField>
    <cacheField name="High" numFmtId="2">
      <sharedItems containsSemiMixedTypes="0" containsString="0" containsNumber="1" minValue="393.5" maxValue="408.61990356445313"/>
    </cacheField>
    <cacheField name="Low" numFmtId="2">
      <sharedItems containsSemiMixedTypes="0" containsString="0" containsNumber="1" minValue="385.39999389648438" maxValue="404.85000610351563"/>
    </cacheField>
    <cacheField name="Open" numFmtId="2">
      <sharedItems containsSemiMixedTypes="0" containsString="0" containsNumber="1" minValue="386.69000244140619" maxValue="407.67001342773438"/>
    </cacheField>
    <cacheField name="Volume" numFmtId="0">
      <sharedItems containsSemiMixedTypes="0" containsString="0" containsNumber="1" containsInteger="1" minValue="3484032" maxValue="20741277"/>
    </cacheField>
    <cacheField name="Normal_Price" numFmtId="2">
      <sharedItems containsString="0" containsBlank="1" containsNumber="1" minValue="391.23700561523441" maxValue="405.68007202148442"/>
    </cacheField>
    <cacheField name="Risk_Status" numFmtId="0">
      <sharedItems count="4">
        <s v="Initializing..."/>
        <s v="Moderate Risk"/>
        <s v="High Risk"/>
        <s v="Low Risk"/>
      </sharedItems>
    </cacheField>
    <cacheField name="Cushion_Pct" numFmtId="10">
      <sharedItems containsSemiMixedTypes="0" containsString="0" containsNumber="1" minValue="-1.04586943471892E-2" maxValue="5.1810002623411261E-2"/>
    </cacheField>
    <cacheField name="Hourly Volatility" numFmtId="0">
      <sharedItems containsString="0" containsBlank="1" containsNumber="1" minValue="0.5578883133586513" maxValue="6.833936725421994"/>
    </cacheField>
    <cacheField name="Avg. Volatlity" numFmtId="0">
      <sharedItems containsString="0" containsBlank="1" containsNumber="1" minValue="2.81" maxValue="2.81"/>
    </cacheField>
    <cacheField name="Threshold" numFmtId="0">
      <sharedItems containsString="0" containsBlank="1" containsNumber="1" minValue="0.02" maxValue="0.02"/>
    </cacheField>
    <cacheField name="Hours (Datetime)" numFmtId="0" databaseField="0">
      <fieldGroup base="0">
        <rangePr groupBy="hours" startDate="2026-03-02T14:30:00" endDate="2026-03-06T20:30:00"/>
        <groupItems count="26">
          <s v="&lt;3/2/2026"/>
          <s v="12 AM"/>
          <s v="1 AM"/>
          <s v="2 AM"/>
          <s v="3 AM"/>
          <s v="4 AM"/>
          <s v="5 AM"/>
          <s v="6 AM"/>
          <s v="7 AM"/>
          <s v="8 AM"/>
          <s v="9 AM"/>
          <s v="10 AM"/>
          <s v="11 AM"/>
          <s v="12 PM"/>
          <s v="1 PM"/>
          <s v="2 PM"/>
          <s v="3 PM"/>
          <s v="4 PM"/>
          <s v="5 PM"/>
          <s v="6 PM"/>
          <s v="7 PM"/>
          <s v="8 PM"/>
          <s v="9 PM"/>
          <s v="10 PM"/>
          <s v="11 PM"/>
          <s v="&gt;3/6/2026"/>
        </groupItems>
      </fieldGroup>
    </cacheField>
    <cacheField name="Days (Datetime)" numFmtId="0" databaseField="0">
      <fieldGroup base="0">
        <rangePr groupBy="days" startDate="2026-03-02T14:30:00" endDate="2026-03-06T20:30:00"/>
        <groupItems count="368">
          <s v="&lt;3/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6/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ceana O'Dean" refreshedDate="46097.665454745373" createdVersion="8" refreshedVersion="8" minRefreshableVersion="3" recordCount="168" xr:uid="{DAD39F2A-89FF-40F9-A1F5-2279FC0EDB93}">
  <cacheSource type="worksheet">
    <worksheetSource name="Table26"/>
  </cacheSource>
  <cacheFields count="12">
    <cacheField name="Datetime" numFmtId="164">
      <sharedItems containsSemiMixedTypes="0" containsNonDate="0" containsDate="1" containsString="0" minDate="2026-02-09T14:30:00" maxDate="2026-03-06T20:30:00" count="133">
        <d v="2026-02-09T14:30:00"/>
        <d v="2026-02-09T15:30:00"/>
        <d v="2026-02-09T16:30:00"/>
        <d v="2026-02-09T17:30:00"/>
        <d v="2026-02-09T18:30:00"/>
        <d v="2026-02-09T19:30:00"/>
        <d v="2026-02-09T20:30:00"/>
        <d v="2026-02-10T14:30:00"/>
        <d v="2026-02-10T15:30:00"/>
        <d v="2026-02-10T16:30:00"/>
        <d v="2026-02-10T17:30:00"/>
        <d v="2026-02-10T18:30:00"/>
        <d v="2026-02-10T19:30:00"/>
        <d v="2026-02-10T20:30:00"/>
        <d v="2026-02-11T14:30:00"/>
        <d v="2026-02-11T15:30:00"/>
        <d v="2026-02-11T16:30:00"/>
        <d v="2026-02-11T17:30:00"/>
        <d v="2026-02-11T18:30:00"/>
        <d v="2026-02-11T19:30:00"/>
        <d v="2026-02-11T20:30:00"/>
        <d v="2026-02-12T14:30:00"/>
        <d v="2026-02-12T15:30:00"/>
        <d v="2026-02-12T16:30:00"/>
        <d v="2026-02-12T17:30:00"/>
        <d v="2026-02-12T18:30:00"/>
        <d v="2026-02-12T19:30:00"/>
        <d v="2026-02-12T20:30:00"/>
        <d v="2026-02-13T14:30:00"/>
        <d v="2026-02-13T15:30:00"/>
        <d v="2026-02-13T16:30:00"/>
        <d v="2026-02-13T17:30:00"/>
        <d v="2026-02-13T18:30:00"/>
        <d v="2026-02-13T19:30:00"/>
        <d v="2026-02-13T20:30:00"/>
        <d v="2026-02-17T14:30:00"/>
        <d v="2026-02-17T15:30:00"/>
        <d v="2026-02-17T16:30:00"/>
        <d v="2026-02-17T17:30:00"/>
        <d v="2026-02-17T18:30:00"/>
        <d v="2026-02-17T19:30:00"/>
        <d v="2026-02-17T20:30:00"/>
        <d v="2026-02-18T14:30:00"/>
        <d v="2026-02-18T15:30:00"/>
        <d v="2026-02-18T16:30:00"/>
        <d v="2026-02-18T17:30:00"/>
        <d v="2026-02-18T18:30:00"/>
        <d v="2026-02-18T19:30:00"/>
        <d v="2026-02-18T20:30:00"/>
        <d v="2026-02-19T14:30:00"/>
        <d v="2026-02-19T15:30:00"/>
        <d v="2026-02-19T16:30:00"/>
        <d v="2026-02-19T17:30:00"/>
        <d v="2026-02-19T18:30:00"/>
        <d v="2026-02-19T19:30:00"/>
        <d v="2026-02-19T20:30:00"/>
        <d v="2026-02-20T14:30:00"/>
        <d v="2026-02-20T15:30:00"/>
        <d v="2026-02-20T16:30:00"/>
        <d v="2026-02-20T17:30:00"/>
        <d v="2026-02-20T18:30:00"/>
        <d v="2026-02-20T19:30:00"/>
        <d v="2026-02-20T20:30:00"/>
        <d v="2026-02-23T14:30:00"/>
        <d v="2026-02-23T15:30:00"/>
        <d v="2026-02-23T16:30:00"/>
        <d v="2026-02-23T17:30:00"/>
        <d v="2026-02-23T18:30:00"/>
        <d v="2026-02-23T19:30:00"/>
        <d v="2026-02-23T20:30:00"/>
        <d v="2026-02-24T14:30:00"/>
        <d v="2026-02-24T15:30:00"/>
        <d v="2026-02-24T16:30:00"/>
        <d v="2026-02-24T17:30:00"/>
        <d v="2026-02-24T18:30:00"/>
        <d v="2026-02-24T19:30:00"/>
        <d v="2026-02-24T20:30:00"/>
        <d v="2026-02-25T14:30:00"/>
        <d v="2026-02-25T15:30:00"/>
        <d v="2026-02-25T16:30:00"/>
        <d v="2026-02-25T17:30:00"/>
        <d v="2026-02-25T18:30:00"/>
        <d v="2026-02-25T19:30:00"/>
        <d v="2026-02-25T20:30:00"/>
        <d v="2026-02-26T14:30:00"/>
        <d v="2026-02-26T15:30:00"/>
        <d v="2026-02-26T16:30:00"/>
        <d v="2026-02-26T17:30:00"/>
        <d v="2026-02-26T18:30:00"/>
        <d v="2026-02-26T19:30:00"/>
        <d v="2026-02-26T20:30:00"/>
        <d v="2026-02-27T14:30:00"/>
        <d v="2026-02-27T15:30:00"/>
        <d v="2026-02-27T16:30:00"/>
        <d v="2026-02-27T17:30:00"/>
        <d v="2026-02-27T18:30:00"/>
        <d v="2026-02-27T19:30:00"/>
        <d v="2026-02-27T20:30:00"/>
        <d v="2026-03-02T14:30:00"/>
        <d v="2026-03-02T15:30:00"/>
        <d v="2026-03-02T16:30:00"/>
        <d v="2026-03-02T17:30:00"/>
        <d v="2026-03-02T18:30:00"/>
        <d v="2026-03-02T19:30:00"/>
        <d v="2026-03-02T20:30:00"/>
        <d v="2026-03-03T14:30:00"/>
        <d v="2026-03-03T15:30:00"/>
        <d v="2026-03-03T16:30:00"/>
        <d v="2026-03-03T17:30:00"/>
        <d v="2026-03-03T18:30:00"/>
        <d v="2026-03-03T19:30:00"/>
        <d v="2026-03-03T20:30:00"/>
        <d v="2026-03-04T14:30:00"/>
        <d v="2026-03-04T15:30:00"/>
        <d v="2026-03-04T16:30:00"/>
        <d v="2026-03-04T17:30:00"/>
        <d v="2026-03-04T18:30:00"/>
        <d v="2026-03-04T19:30:00"/>
        <d v="2026-03-04T20:30:00"/>
        <d v="2026-03-05T14:30:00"/>
        <d v="2026-03-05T15:30:00"/>
        <d v="2026-03-05T16:30:00"/>
        <d v="2026-03-05T17:30:00"/>
        <d v="2026-03-05T18:30:00"/>
        <d v="2026-03-05T19:30:00"/>
        <d v="2026-03-05T20:30:00"/>
        <d v="2026-03-06T14:30:00"/>
        <d v="2026-03-06T15:30:00"/>
        <d v="2026-03-06T16:30:00"/>
        <d v="2026-03-06T17:30:00"/>
        <d v="2026-03-06T18:30:00"/>
        <d v="2026-03-06T19:30:00"/>
        <d v="2026-03-06T20:30:00"/>
      </sharedItems>
      <fieldGroup par="11"/>
    </cacheField>
    <cacheField name="Close" numFmtId="2">
      <sharedItems containsSemiMixedTypes="0" containsString="0" containsNumber="1" minValue="386.72000122070313" maxValue="429.67001342773438"/>
    </cacheField>
    <cacheField name="High" numFmtId="2">
      <sharedItems containsSemiMixedTypes="0" containsString="0" containsNumber="1" minValue="393.5" maxValue="436.35000610351563"/>
    </cacheField>
    <cacheField name="Low" numFmtId="2">
      <sharedItems containsSemiMixedTypes="0" containsString="0" containsNumber="1" minValue="385.39999389648438" maxValue="426.1300048828125"/>
    </cacheField>
    <cacheField name="Open" numFmtId="2">
      <sharedItems containsSemiMixedTypes="0" containsString="0" containsNumber="1" minValue="386.69000244140619" maxValue="430.35000610351563"/>
    </cacheField>
    <cacheField name="Volume" numFmtId="0">
      <sharedItems containsSemiMixedTypes="0" containsString="0" containsNumber="1" containsInteger="1" minValue="532089" maxValue="20741277"/>
    </cacheField>
    <cacheField name="Normal_Price" numFmtId="0">
      <sharedItems containsString="0" containsBlank="1" containsNumber="1" minValue="391.23700561523441" maxValue="427.19699707031248"/>
    </cacheField>
    <cacheField name="Risk_Status" numFmtId="0">
      <sharedItems count="4">
        <s v="Initializing..."/>
        <s v="Moderate Risk"/>
        <s v="High Risk"/>
        <s v="Low Risk"/>
      </sharedItems>
    </cacheField>
    <cacheField name="Cushion_Pct" numFmtId="0">
      <sharedItems containsSemiMixedTypes="0" containsString="0" containsNumber="1" minValue="-1.438212303050857E-2" maxValue="5.1810002623411261E-2"/>
    </cacheField>
    <cacheField name="View" numFmtId="0">
      <sharedItems count="2">
        <s v="30 day"/>
        <s v="5 day"/>
      </sharedItems>
    </cacheField>
    <cacheField name="Days (Datetime)" numFmtId="0" databaseField="0">
      <fieldGroup base="0">
        <rangePr groupBy="days" startDate="2026-02-09T14:30:00" endDate="2026-03-06T20:30:00"/>
        <groupItems count="368">
          <s v="&lt;2/9/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6/2026"/>
        </groupItems>
      </fieldGroup>
    </cacheField>
    <cacheField name="Months (Datetime)" numFmtId="0" databaseField="0">
      <fieldGroup base="0">
        <rangePr groupBy="months" startDate="2026-02-09T14:30:00" endDate="2026-03-06T20:30:00"/>
        <groupItems count="14">
          <s v="&lt;2/9/2026"/>
          <s v="Jan"/>
          <s v="Feb"/>
          <s v="Mar"/>
          <s v="Apr"/>
          <s v="May"/>
          <s v="Jun"/>
          <s v="Jul"/>
          <s v="Aug"/>
          <s v="Sep"/>
          <s v="Oct"/>
          <s v="Nov"/>
          <s v="Dec"/>
          <s v="&gt;3/6/2026"/>
        </groupItems>
      </fieldGroup>
    </cacheField>
  </cacheFields>
  <extLst>
    <ext xmlns:x14="http://schemas.microsoft.com/office/spreadsheetml/2009/9/main" uri="{725AE2AE-9491-48be-B2B4-4EB974FC3084}">
      <x14:pivotCacheDefinition pivotCacheId="18438351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n v="398.65411376953119"/>
    <n v="399.21868896484381"/>
    <n v="388.25"/>
    <n v="390.32000732421881"/>
    <n v="11632699"/>
    <m/>
    <x v="0"/>
    <n v="0"/>
    <m/>
    <m/>
    <m/>
  </r>
  <r>
    <x v="1"/>
    <n v="400.17001342773438"/>
    <n v="403.70901489257813"/>
    <n v="397.739990234375"/>
    <n v="398.66500854492188"/>
    <n v="6369385"/>
    <m/>
    <x v="0"/>
    <n v="0"/>
    <m/>
    <m/>
    <m/>
  </r>
  <r>
    <x v="2"/>
    <n v="402.51998901367188"/>
    <n v="404.53988647460938"/>
    <n v="399.739990234375"/>
    <n v="400.20999145507813"/>
    <n v="5307407"/>
    <m/>
    <x v="0"/>
    <n v="0"/>
    <m/>
    <m/>
    <m/>
  </r>
  <r>
    <x v="3"/>
    <n v="401.75"/>
    <n v="403.19000244140619"/>
    <n v="400.97000122070313"/>
    <n v="402.47000122070313"/>
    <n v="3707542"/>
    <m/>
    <x v="0"/>
    <n v="0"/>
    <m/>
    <m/>
    <m/>
  </r>
  <r>
    <x v="4"/>
    <n v="402.64999389648438"/>
    <n v="402.8699951171875"/>
    <n v="400.10000610351563"/>
    <n v="401.78628540039063"/>
    <n v="3484032"/>
    <n v="401.14882202148442"/>
    <x v="1"/>
    <n v="2.422671626016519E-2"/>
    <n v="1.5281797280535963"/>
    <n v="2.81"/>
    <n v="0.02"/>
  </r>
  <r>
    <x v="5"/>
    <n v="399.55999755859381"/>
    <n v="402.79998779296881"/>
    <n v="398.91000366210938"/>
    <n v="402.66000366210938"/>
    <n v="15081453"/>
    <n v="401.32999877929689"/>
    <x v="2"/>
    <n v="1.5907817664208249E-2"/>
    <n v="1.2500668166005169"/>
    <n v="2.81"/>
    <n v="0.02"/>
  </r>
  <r>
    <x v="6"/>
    <n v="403.2349853515625"/>
    <n v="403.489990234375"/>
    <n v="399.55999755859381"/>
    <n v="399.57000732421881"/>
    <n v="5267667"/>
    <n v="401.9429931640625"/>
    <x v="1"/>
    <n v="2.3688129323731381E-2"/>
    <n v="1.2820243738502406"/>
    <n v="2.81"/>
    <n v="0.02"/>
  </r>
  <r>
    <x v="7"/>
    <n v="386.72000122070313"/>
    <n v="396.33999633789063"/>
    <n v="386.55999755859381"/>
    <n v="395.08999633789063"/>
    <n v="17290057"/>
    <n v="398.78299560546873"/>
    <x v="2"/>
    <n v="-1.04586943471892E-2"/>
    <n v="6.1594897373281912"/>
    <n v="2.81"/>
    <n v="0.02"/>
  </r>
  <r>
    <x v="8"/>
    <n v="392.54000854492188"/>
    <n v="393.55999755859381"/>
    <n v="385.39999389648438"/>
    <n v="386.69000244140619"/>
    <n v="12190306"/>
    <n v="396.94099731445311"/>
    <x v="2"/>
    <n v="9.0946307825149203E-3"/>
    <n v="6.3702990975577007"/>
    <n v="2.81"/>
    <n v="0.02"/>
  </r>
  <r>
    <x v="9"/>
    <n v="392"/>
    <n v="393.54998779296881"/>
    <n v="389.8599853515625"/>
    <n v="392.52999877929688"/>
    <n v="6657822"/>
    <n v="394.81099853515627"/>
    <x v="2"/>
    <n v="1.314300129453385E-2"/>
    <n v="5.8658314236002411"/>
    <n v="2.81"/>
    <n v="0.02"/>
  </r>
  <r>
    <x v="10"/>
    <n v="393.29000854492188"/>
    <n v="393.92001342773438"/>
    <n v="389.07998657226563"/>
    <n v="391.95999145507813"/>
    <n v="5541323"/>
    <n v="393.5570007324219"/>
    <x v="2"/>
    <n v="1.9715910282520809E-2"/>
    <n v="5.3654032062828092"/>
    <n v="2.81"/>
    <n v="0.02"/>
  </r>
  <r>
    <x v="11"/>
    <n v="391.635009765625"/>
    <n v="394.76998901367188"/>
    <n v="391"/>
    <n v="393.29998779296881"/>
    <n v="5557143"/>
    <n v="391.23700561523441"/>
    <x v="1"/>
    <n v="2.144622121545699E-2"/>
    <n v="2.326221575826616"/>
    <n v="2.81"/>
    <n v="0.02"/>
  </r>
  <r>
    <x v="12"/>
    <n v="392.54998779296881"/>
    <n v="394.70001220703119"/>
    <n v="391.23001098632813"/>
    <n v="391.67001342773438"/>
    <n v="5268077"/>
    <n v="392.40300292968749"/>
    <x v="1"/>
    <n v="2.0790383975262141E-2"/>
    <n v="0.56202827535281963"/>
    <n v="2.81"/>
    <n v="0.02"/>
  </r>
  <r>
    <x v="13"/>
    <n v="392.35000610351563"/>
    <n v="393.5"/>
    <n v="391.67001342773438"/>
    <n v="392.54010009765619"/>
    <n v="5308335"/>
    <n v="392.36500244140632"/>
    <x v="1"/>
    <n v="2.0369162881715631E-2"/>
    <n v="0.5578883133586513"/>
    <n v="2.81"/>
    <n v="0.02"/>
  </r>
  <r>
    <x v="14"/>
    <n v="407.67001342773438"/>
    <n v="407.85238647460938"/>
    <n v="394.58999633789063"/>
    <n v="397.84500122070313"/>
    <n v="20741277"/>
    <n v="395.49900512695308"/>
    <x v="3"/>
    <n v="5.1810002623411261E-2"/>
    <n v="6.1082970981318097"/>
    <n v="2.81"/>
    <n v="0.02"/>
  </r>
  <r>
    <x v="15"/>
    <n v="404.19500732421881"/>
    <n v="407.79000854492188"/>
    <n v="401.42999267578119"/>
    <n v="407.67001342773438"/>
    <n v="10733226"/>
    <n v="397.68000488281251"/>
    <x v="3"/>
    <n v="3.7125025046836548E-2"/>
    <n v="6.833936725421994"/>
    <n v="2.81"/>
    <n v="0.02"/>
  </r>
  <r>
    <x v="16"/>
    <n v="404.8599853515625"/>
    <n v="407.14999389648438"/>
    <n v="403.8800048828125"/>
    <n v="404.17999267578119"/>
    <n v="7361876"/>
    <n v="400.32499999999999"/>
    <x v="3"/>
    <n v="3.1967611396257187E-2"/>
    <n v="6.5351910997374665"/>
    <n v="2.81"/>
    <n v="0.02"/>
  </r>
  <r>
    <x v="17"/>
    <n v="403.77999877929688"/>
    <n v="405.04000854492188"/>
    <n v="403.27999877929688"/>
    <n v="404.864990234375"/>
    <n v="6209136"/>
    <n v="402.57100219726561"/>
    <x v="1"/>
    <n v="2.3472641270257E-2"/>
    <n v="5.2878575235209873"/>
    <n v="2.81"/>
    <n v="0.02"/>
  </r>
  <r>
    <x v="18"/>
    <n v="406.32501220703119"/>
    <n v="406.83999633789063"/>
    <n v="403.72000122070313"/>
    <n v="403.77999877929688"/>
    <n v="5290009"/>
    <n v="405.36600341796873"/>
    <x v="1"/>
    <n v="2.282222953813462E-2"/>
    <n v="1.4401983774185458"/>
    <n v="2.81"/>
    <n v="0.02"/>
  </r>
  <r>
    <x v="19"/>
    <n v="406.95001220703119"/>
    <n v="407.3800048828125"/>
    <n v="404.85000610351563"/>
    <n v="406.32998657226563"/>
    <n v="5657840"/>
    <n v="405.22200317382811"/>
    <x v="1"/>
    <n v="2.4759542286845241E-2"/>
    <n v="1.222112777018481"/>
    <n v="2.81"/>
    <n v="0.02"/>
  </r>
  <r>
    <x v="20"/>
    <n v="406.07000732421881"/>
    <n v="408.32998657226563"/>
    <n v="404.75"/>
    <n v="406.95001220703119"/>
    <n v="6921220"/>
    <n v="405.59700317382811"/>
    <x v="1"/>
    <n v="2.159815552989432E-2"/>
    <n v="1.1339368379873913"/>
    <n v="2.81"/>
    <n v="0.02"/>
  </r>
  <r>
    <x v="21"/>
    <n v="403.6400146484375"/>
    <n v="407.3800048828125"/>
    <n v="400.29998779296881"/>
    <n v="401.57000732421881"/>
    <n v="12709534"/>
    <n v="405.35300903320308"/>
    <x v="2"/>
    <n v="1.6095987421314031E-2"/>
    <n v="1.3724435782647633"/>
    <n v="2.81"/>
    <n v="0.02"/>
  </r>
  <r>
    <x v="22"/>
    <n v="405.41531372070313"/>
    <n v="407.05999755859381"/>
    <n v="401.76998901367188"/>
    <n v="403.67001342773438"/>
    <n v="8003266"/>
    <n v="405.68007202148442"/>
    <x v="2"/>
    <n v="1.974221600774622E-2"/>
    <n v="1.1324907506265944"/>
    <n v="2.81"/>
    <n v="0.02"/>
  </r>
  <r>
    <x v="23"/>
    <n v="403.15008544921881"/>
    <n v="408.61990356445313"/>
    <n v="403.04998779296881"/>
    <n v="405.45999145507813"/>
    <n v="6229475"/>
    <n v="405.04508666992189"/>
    <x v="2"/>
    <n v="1.5634189259348241E-2"/>
    <n v="1.4409391889104941"/>
    <n v="2.81"/>
    <n v="0.02"/>
  </r>
  <r>
    <x v="24"/>
    <n v="399.73001098632813"/>
    <n v="403.42999267578119"/>
    <n v="399.42001342773438"/>
    <n v="403.17001342773438"/>
    <n v="6761936"/>
    <n v="403.60108642578132"/>
    <x v="2"/>
    <n v="1.062108113920234E-2"/>
    <n v="2.2170761568199642"/>
    <n v="2.81"/>
    <n v="0.02"/>
  </r>
  <r>
    <x v="25"/>
    <n v="401.75"/>
    <n v="402.77999877929688"/>
    <n v="399.55999755859381"/>
    <n v="399.70001220703119"/>
    <n v="4565821"/>
    <n v="402.73708496093752"/>
    <x v="2"/>
    <n v="1.7907202738974799E-2"/>
    <n v="1.9065986112659985"/>
    <n v="2.81"/>
    <n v="0.02"/>
  </r>
  <r>
    <x v="26"/>
    <n v="402.79000854492188"/>
    <n v="404.3800048828125"/>
    <n v="399.760009765625"/>
    <n v="401.70001220703119"/>
    <n v="5510901"/>
    <n v="402.56708374023441"/>
    <x v="1"/>
    <n v="2.097322260494219E-2"/>
    <n v="1.8557267111499656"/>
    <n v="2.81"/>
    <n v="0.02"/>
  </r>
  <r>
    <x v="27"/>
    <n v="405.40130615234381"/>
    <n v="405.8900146484375"/>
    <n v="402.57000732421881"/>
    <n v="402.76998901367188"/>
    <n v="4836899"/>
    <n v="402.56428222656251"/>
    <x v="1"/>
    <n v="2.7599368499000781E-2"/>
    <n v="1.8514303416356477"/>
    <n v="2.81"/>
    <n v="0.02"/>
  </r>
  <r>
    <x v="28"/>
    <n v="397.30999755859381"/>
    <n v="398.5"/>
    <n v="394.22000122070313"/>
    <n v="398.18499755859381"/>
    <n v="16938293"/>
    <n v="401.39626464843752"/>
    <x v="2"/>
    <n v="1.002027313530965E-2"/>
    <n v="2.7416049384248318"/>
    <n v="2.81"/>
    <n v="0.02"/>
  </r>
  <r>
    <x v="29"/>
    <n v="399.6199951171875"/>
    <n v="399.95498657226563"/>
    <n v="395.41000366210938"/>
    <n v="397.26998901367188"/>
    <n v="10989461"/>
    <n v="401.3742614746094"/>
    <x v="2"/>
    <n v="1.5948316475234259E-2"/>
    <n v="2.755296705432603"/>
    <n v="2.81"/>
    <n v="0.02"/>
  </r>
  <r>
    <x v="30"/>
    <n v="398.8599853515625"/>
    <n v="401.41000366210938"/>
    <n v="397.71099853515619"/>
    <n v="399.6300048828125"/>
    <n v="8265638"/>
    <n v="400.7962585449219"/>
    <x v="2"/>
    <n v="1.547850404146826E-2"/>
    <n v="2.9143873361193138"/>
    <n v="2.81"/>
    <n v="0.02"/>
  </r>
  <r>
    <x v="31"/>
    <n v="401.17001342773438"/>
    <n v="402.35000610351563"/>
    <n v="397.14999389648438"/>
    <n v="398.91000366210938"/>
    <n v="6641166"/>
    <n v="400.47225952148438"/>
    <x v="1"/>
    <n v="2.218604866175905E-2"/>
    <n v="2.7607261558744698"/>
    <n v="2.81"/>
    <n v="0.02"/>
  </r>
  <r>
    <x v="32"/>
    <n v="399.30999755859381"/>
    <n v="401.75"/>
    <n v="398.29998779296881"/>
    <n v="401.16500854492188"/>
    <n v="5725425"/>
    <n v="399.25399780273438"/>
    <x v="1"/>
    <n v="2.0551286711368629E-2"/>
    <n v="1.2443945228892976"/>
    <n v="2.81"/>
    <n v="0.02"/>
  </r>
  <r>
    <x v="33"/>
    <n v="396.72000122070313"/>
    <n v="400.82998657226563"/>
    <n v="396.5"/>
    <n v="399.30999755859381"/>
    <n v="5982618"/>
    <n v="399.13599853515632"/>
    <x v="2"/>
    <n v="1.4231563331592411E-2"/>
    <n v="1.4363127260988133"/>
    <n v="2.81"/>
    <n v="0.02"/>
  </r>
  <r>
    <x v="34"/>
    <n v="396.55999755859381"/>
    <n v="398.20001220703119"/>
    <n v="396.20001220703119"/>
    <n v="396.73001098632813"/>
    <n v="5246449"/>
    <n v="398.52399902343751"/>
    <x v="2"/>
    <n v="1.5379399295501381E-2"/>
    <n v="1.7230079839559627"/>
    <n v="2.81"/>
    <n v="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n v="412.96499633789063"/>
    <n v="415.32998657226563"/>
    <n v="407.29000854492188"/>
    <n v="409.90499877929688"/>
    <n v="10662546"/>
    <m/>
    <x v="0"/>
    <n v="0"/>
    <x v="0"/>
  </r>
  <r>
    <x v="1"/>
    <n v="418.66500854492188"/>
    <n v="419.42999267578119"/>
    <n v="412.70001220703119"/>
    <n v="412.96499633789063"/>
    <n v="6843367"/>
    <m/>
    <x v="0"/>
    <n v="0"/>
    <x v="0"/>
  </r>
  <r>
    <x v="2"/>
    <n v="420.52999877929688"/>
    <n v="421.25"/>
    <n v="417.97000122070313"/>
    <n v="418.6199951171875"/>
    <n v="5284227"/>
    <m/>
    <x v="0"/>
    <n v="0"/>
    <x v="0"/>
  </r>
  <r>
    <x v="3"/>
    <n v="418.34991455078119"/>
    <n v="421.20989990234381"/>
    <n v="417.70001220703119"/>
    <n v="420.54998779296881"/>
    <n v="3548082"/>
    <m/>
    <x v="0"/>
    <n v="0"/>
    <x v="0"/>
  </r>
  <r>
    <x v="4"/>
    <n v="420.16970825195313"/>
    <n v="420.66000366210938"/>
    <n v="417.70999145507813"/>
    <n v="418.30230712890619"/>
    <n v="3393895"/>
    <n v="418.13592529296881"/>
    <x v="1"/>
    <n v="2.5371354916928691E-2"/>
    <x v="0"/>
  </r>
  <r>
    <x v="5"/>
    <n v="420.1199951171875"/>
    <n v="420.89999389648438"/>
    <n v="419.40701293945313"/>
    <n v="420.19000244140619"/>
    <n v="3389590"/>
    <n v="419.56692504882813"/>
    <x v="1"/>
    <n v="2.1753257882919159E-2"/>
    <x v="0"/>
  </r>
  <r>
    <x v="6"/>
    <n v="417.16000366210938"/>
    <n v="420.42001342773438"/>
    <n v="417.13009643554688"/>
    <n v="420.07998657226563"/>
    <n v="3183939"/>
    <n v="419.26592407226559"/>
    <x v="2"/>
    <n v="1.528278041320465E-2"/>
    <x v="0"/>
  </r>
  <r>
    <x v="7"/>
    <n v="423.34161376953119"/>
    <n v="425.45999145507813"/>
    <n v="417"/>
    <n v="418.08999633789063"/>
    <n v="10943175"/>
    <n v="419.8282470703125"/>
    <x v="1"/>
    <n v="2.8947531650937618E-2"/>
    <x v="0"/>
  </r>
  <r>
    <x v="8"/>
    <n v="421.7349853515625"/>
    <n v="425.42001342773438"/>
    <n v="420.71270751953119"/>
    <n v="423.33999633789063"/>
    <n v="6615508"/>
    <n v="420.50526123046882"/>
    <x v="1"/>
    <n v="2.3392241343322271E-2"/>
    <x v="0"/>
  </r>
  <r>
    <x v="9"/>
    <n v="424.93499755859381"/>
    <n v="427.25"/>
    <n v="421.05999755859381"/>
    <n v="421.70999145507813"/>
    <n v="6045525"/>
    <n v="421.45831909179691"/>
    <x v="1"/>
    <n v="2.882567676038458E-2"/>
    <x v="0"/>
  </r>
  <r>
    <x v="10"/>
    <n v="423.32000732421881"/>
    <n v="426.114990234375"/>
    <n v="423.14999389648438"/>
    <n v="424.8800048828125"/>
    <n v="4257452"/>
    <n v="422.09832153320309"/>
    <x v="1"/>
    <n v="2.3361546613454569E-2"/>
    <x v="0"/>
  </r>
  <r>
    <x v="11"/>
    <n v="425.03988647460938"/>
    <n v="425.10000610351563"/>
    <n v="422.35009765625"/>
    <n v="423.29000854492188"/>
    <n v="3627992"/>
    <n v="423.67429809570308"/>
    <x v="1"/>
    <n v="2.3697146183928739E-2"/>
    <x v="0"/>
  </r>
  <r>
    <x v="12"/>
    <n v="424.45001220703119"/>
    <n v="426.3699951171875"/>
    <n v="423.66000366210938"/>
    <n v="425.05999755859381"/>
    <n v="3877717"/>
    <n v="423.89597778320308"/>
    <x v="1"/>
    <n v="2.1741842465945641E-2"/>
    <x v="0"/>
  </r>
  <r>
    <x v="13"/>
    <n v="425.22000122070313"/>
    <n v="427.20001220703119"/>
    <n v="423.81698608398438"/>
    <n v="424.41000366210938"/>
    <n v="4465243"/>
    <n v="424.59298095703127"/>
    <x v="1"/>
    <n v="2.1915057218525529E-2"/>
    <x v="0"/>
  </r>
  <r>
    <x v="14"/>
    <n v="421.72000122070313"/>
    <n v="436.35000610351563"/>
    <n v="421.54998779296881"/>
    <n v="427.95498657226563"/>
    <n v="14480611"/>
    <n v="423.94998168945313"/>
    <x v="2"/>
    <n v="1.504080774575446E-2"/>
    <x v="0"/>
  </r>
  <r>
    <x v="15"/>
    <n v="426.40499877929688"/>
    <n v="427.06939697265619"/>
    <n v="420.02999877929688"/>
    <n v="421.68231201171881"/>
    <n v="7864759"/>
    <n v="424.56697998046877"/>
    <x v="1"/>
    <n v="2.482567445905361E-2"/>
    <x v="0"/>
  </r>
  <r>
    <x v="16"/>
    <n v="424.7598876953125"/>
    <n v="426.67001342773438"/>
    <n v="422.05999755859381"/>
    <n v="426.41000366210938"/>
    <n v="5055253"/>
    <n v="424.5109802246094"/>
    <x v="1"/>
    <n v="2.1006468672786521E-2"/>
    <x v="0"/>
  </r>
  <r>
    <x v="17"/>
    <n v="424.7449951171875"/>
    <n v="426.17999267578119"/>
    <n v="422.1199951171875"/>
    <n v="424.760009765625"/>
    <n v="4016085"/>
    <n v="424.56997680664063"/>
    <x v="1"/>
    <n v="2.0828800904703449E-2"/>
    <x v="0"/>
  </r>
  <r>
    <x v="18"/>
    <n v="427.55999755859381"/>
    <n v="427.73001098632813"/>
    <n v="423.6199951171875"/>
    <n v="424.72000122070313"/>
    <n v="3807995"/>
    <n v="425.03797607421882"/>
    <x v="1"/>
    <n v="2.6462895913800941E-2"/>
    <x v="0"/>
  </r>
  <r>
    <x v="19"/>
    <n v="425.8599853515625"/>
    <n v="427.64990234375"/>
    <n v="425.6400146484375"/>
    <n v="427.51998901367188"/>
    <n v="3215486"/>
    <n v="425.8659729003906"/>
    <x v="1"/>
    <n v="2.039381663023564E-2"/>
    <x v="0"/>
  </r>
  <r>
    <x v="20"/>
    <n v="428.14999389648438"/>
    <n v="429.10000610351563"/>
    <n v="425.45999145507813"/>
    <n v="425.82000732421881"/>
    <n v="3100922"/>
    <n v="426.2149719238281"/>
    <x v="1"/>
    <n v="2.5040830691520109E-2"/>
    <x v="0"/>
  </r>
  <r>
    <x v="21"/>
    <n v="429.67001342773438"/>
    <n v="436.23001098632813"/>
    <n v="426.1300048828125"/>
    <n v="430.35000610351563"/>
    <n v="11620453"/>
    <n v="427.19699707031248"/>
    <x v="1"/>
    <n v="2.6315241489890711E-2"/>
    <x v="0"/>
  </r>
  <r>
    <x v="22"/>
    <n v="419.41000366210938"/>
    <n v="430.489990234375"/>
    <n v="419.27999877929688"/>
    <n v="429.77999877929688"/>
    <n v="7175428"/>
    <n v="426.1299987792969"/>
    <x v="2"/>
    <n v="4.3165060378772008E-3"/>
    <x v="0"/>
  </r>
  <r>
    <x v="23"/>
    <n v="418.10980224609381"/>
    <n v="421.409912109375"/>
    <n v="417.1199951171875"/>
    <n v="419.40499877929688"/>
    <n v="6221291"/>
    <n v="424.23995971679688"/>
    <x v="2"/>
    <n v="5.6635297579321706E-3"/>
    <x v="0"/>
  </r>
  <r>
    <x v="24"/>
    <n v="416.79000854492188"/>
    <n v="420.10000610351563"/>
    <n v="414"/>
    <n v="418.06500244140619"/>
    <n v="4974259"/>
    <n v="422.42596435546881"/>
    <x v="2"/>
    <n v="6.7940017265869851E-3"/>
    <x v="0"/>
  </r>
  <r>
    <x v="25"/>
    <n v="414.66250610351563"/>
    <n v="417.8699951171875"/>
    <n v="414.25009155273438"/>
    <n v="416.79998779296881"/>
    <n v="3857610"/>
    <n v="419.72846679687501"/>
    <x v="2"/>
    <n v="8.0922303343458485E-3"/>
    <x v="0"/>
  </r>
  <r>
    <x v="26"/>
    <n v="414.80279541015619"/>
    <n v="416.85000610351563"/>
    <n v="414.54000854492188"/>
    <n v="414.6300048828125"/>
    <n v="3571749"/>
    <n v="416.75502319335942"/>
    <x v="2"/>
    <n v="1.5628210881601989E-2"/>
    <x v="0"/>
  </r>
  <r>
    <x v="27"/>
    <n v="416.83999633789063"/>
    <n v="417.42001342773438"/>
    <n v="414.54998779296881"/>
    <n v="414.70999145507813"/>
    <n v="3513182"/>
    <n v="416.24102172851559"/>
    <x v="1"/>
    <n v="2.1876539876666441E-2"/>
    <x v="0"/>
  </r>
  <r>
    <x v="28"/>
    <n v="416.10501098632813"/>
    <n v="417.70001220703119"/>
    <n v="410.8800048828125"/>
    <n v="414.1400146484375"/>
    <n v="9931507"/>
    <n v="415.84006347656248"/>
    <x v="1"/>
    <n v="2.1058304089981439E-2"/>
    <x v="0"/>
  </r>
  <r>
    <x v="29"/>
    <n v="417.92999267578119"/>
    <n v="418.3699951171875"/>
    <n v="412.3800048828125"/>
    <n v="416.10501098632813"/>
    <n v="6179923"/>
    <n v="416.06806030273441"/>
    <x v="1"/>
    <n v="2.497455798333037E-2"/>
    <x v="0"/>
  </r>
  <r>
    <x v="30"/>
    <n v="420.42001342773438"/>
    <n v="420.94000244140619"/>
    <n v="416.44680786132813"/>
    <n v="417.91500854492188"/>
    <n v="4750659"/>
    <n v="417.21956176757811"/>
    <x v="1"/>
    <n v="2.8235617439132051E-2"/>
    <x v="0"/>
  </r>
  <r>
    <x v="31"/>
    <n v="420.57980346679688"/>
    <n v="421.32998657226563"/>
    <n v="418.80999755859381"/>
    <n v="420.48001098632813"/>
    <n v="3564757"/>
    <n v="418.37496337890627"/>
    <x v="1"/>
    <n v="2.5785724116959129E-2"/>
    <x v="0"/>
  </r>
  <r>
    <x v="32"/>
    <n v="420.51998901367188"/>
    <n v="424.05999755859381"/>
    <n v="420.29998779296881"/>
    <n v="420.70001220703119"/>
    <n v="4358821"/>
    <n v="419.1109619140625"/>
    <x v="1"/>
    <n v="2.3838717188632699E-2"/>
    <x v="0"/>
  </r>
  <r>
    <x v="33"/>
    <n v="417.6099853515625"/>
    <n v="421.85989379882813"/>
    <n v="417.20999145507813"/>
    <n v="420.6300048828125"/>
    <n v="3900214"/>
    <n v="419.41195678710938"/>
    <x v="2"/>
    <n v="1.602405753573042E-2"/>
    <x v="0"/>
  </r>
  <r>
    <x v="34"/>
    <n v="417.42001342773438"/>
    <n v="418.58999633789063"/>
    <n v="416.51998901367188"/>
    <n v="417.56988525390619"/>
    <n v="2855438"/>
    <n v="419.30996093750002"/>
    <x v="2"/>
    <n v="1.5808897693851541E-2"/>
    <x v="0"/>
  </r>
  <r>
    <x v="35"/>
    <n v="401.32501220703119"/>
    <n v="413.69000244140619"/>
    <n v="400.92999267578119"/>
    <n v="412.40200805664063"/>
    <n v="12373622"/>
    <n v="415.4909606933594"/>
    <x v="2"/>
    <n v="-1.438212303050857E-2"/>
    <x v="0"/>
  </r>
  <r>
    <x v="36"/>
    <n v="408.17498779296881"/>
    <n v="409.6400146484375"/>
    <n v="400.510009765625"/>
    <n v="401.32510375976563"/>
    <n v="7547922"/>
    <n v="413.00999755859368"/>
    <x v="2"/>
    <n v="8.4624877042411718E-3"/>
    <x v="0"/>
  </r>
  <r>
    <x v="37"/>
    <n v="406.6300048828125"/>
    <n v="408.58999633789063"/>
    <n v="404.82998657226563"/>
    <n v="408.18499755859381"/>
    <n v="5100846"/>
    <n v="410.23200073242191"/>
    <x v="2"/>
    <n v="1.144858438694714E-2"/>
    <x v="0"/>
  </r>
  <r>
    <x v="38"/>
    <n v="409.42001342773438"/>
    <n v="410.30999755859381"/>
    <n v="403.42001342773438"/>
    <n v="406.635009765625"/>
    <n v="5065104"/>
    <n v="408.59400634765632"/>
    <x v="1"/>
    <n v="2.2471004017574701E-2"/>
    <x v="0"/>
  </r>
  <r>
    <x v="39"/>
    <n v="411.39999389648438"/>
    <n v="413.16989135742188"/>
    <n v="408.79010009765619"/>
    <n v="409.43798828125"/>
    <n v="5014738"/>
    <n v="407.39000244140618"/>
    <x v="3"/>
    <n v="3.045217021408823E-2"/>
    <x v="0"/>
  </r>
  <r>
    <x v="40"/>
    <n v="410.55990600585938"/>
    <n v="412.83099365234381"/>
    <n v="409.71139526367188"/>
    <n v="411.42001342773438"/>
    <n v="3604573"/>
    <n v="409.23698120117189"/>
    <x v="1"/>
    <n v="2.370679787581239E-2"/>
    <x v="0"/>
  </r>
  <r>
    <x v="41"/>
    <n v="410.58999633789063"/>
    <n v="411.8800048828125"/>
    <n v="409.6400146484375"/>
    <n v="410.47000122070313"/>
    <n v="2992308"/>
    <n v="409.71998291015632"/>
    <x v="1"/>
    <n v="2.2574932866107431E-2"/>
    <x v="0"/>
  </r>
  <r>
    <x v="42"/>
    <n v="413.26998901367188"/>
    <n v="415.67001342773438"/>
    <n v="409.57998657226563"/>
    <n v="410.67001342773438"/>
    <n v="9006050"/>
    <n v="411.0479797363281"/>
    <x v="1"/>
    <n v="2.592420158012107E-2"/>
    <x v="0"/>
  </r>
  <r>
    <x v="43"/>
    <n v="414.3800048828125"/>
    <n v="416.32000732421881"/>
    <n v="411.58999633789063"/>
    <n v="413.2698974609375"/>
    <n v="5830830"/>
    <n v="412.03997802734381"/>
    <x v="1"/>
    <n v="2.6203189556230459E-2"/>
    <x v="0"/>
  </r>
  <r>
    <x v="44"/>
    <n v="415.21499633789063"/>
    <n v="416.14999389648438"/>
    <n v="413.760009765625"/>
    <n v="414.41000366210938"/>
    <n v="3667109"/>
    <n v="412.802978515625"/>
    <x v="1"/>
    <n v="2.637043292874584E-2"/>
    <x v="0"/>
  </r>
  <r>
    <x v="45"/>
    <n v="413.92999267578119"/>
    <n v="416.89999389648438"/>
    <n v="413.42999267578119"/>
    <n v="415.17999267578119"/>
    <n v="3606640"/>
    <n v="413.47699584960941"/>
    <x v="1"/>
    <n v="2.1526101298132521E-2"/>
    <x v="0"/>
  </r>
  <r>
    <x v="46"/>
    <n v="412.60000610351563"/>
    <n v="414.20989990234381"/>
    <n v="412.5"/>
    <n v="413.92999267578119"/>
    <n v="3525168"/>
    <n v="413.87899780273438"/>
    <x v="2"/>
    <n v="1.725484169653831E-2"/>
    <x v="0"/>
  </r>
  <r>
    <x v="47"/>
    <n v="410.67999267578119"/>
    <n v="412.83999633789063"/>
    <n v="409.90008544921881"/>
    <n v="412.60000610351563"/>
    <n v="4436796"/>
    <n v="413.36099853515623"/>
    <x v="2"/>
    <n v="1.378992817693782E-2"/>
    <x v="0"/>
  </r>
  <r>
    <x v="48"/>
    <n v="411.20001220703119"/>
    <n v="412.12100219726563"/>
    <n v="410.41000366210938"/>
    <n v="410.6199951171875"/>
    <n v="2953314"/>
    <n v="412.72500000000002"/>
    <x v="2"/>
    <n v="1.663783194826627E-2"/>
    <x v="0"/>
  </r>
  <r>
    <x v="49"/>
    <n v="408.69000244140619"/>
    <n v="410.66000366210938"/>
    <n v="404.1099853515625"/>
    <n v="407.33349609375"/>
    <n v="9061292"/>
    <n v="411.42000122070311"/>
    <x v="2"/>
    <n v="1.363719191769659E-2"/>
    <x v="0"/>
  </r>
  <r>
    <x v="50"/>
    <n v="413.85000610351563"/>
    <n v="414.98001098632813"/>
    <n v="408.45999145507813"/>
    <n v="408.69000244140619"/>
    <n v="6692320"/>
    <n v="411.40400390625001"/>
    <x v="1"/>
    <n v="2.647499923616721E-2"/>
    <x v="0"/>
  </r>
  <r>
    <x v="51"/>
    <n v="413.7449951171875"/>
    <n v="415.24990844726563"/>
    <n v="411.94000244140619"/>
    <n v="413.8599853515625"/>
    <n v="4738635"/>
    <n v="411.63300170898441"/>
    <x v="1"/>
    <n v="2.5643640755074061E-2"/>
    <x v="0"/>
  </r>
  <r>
    <x v="52"/>
    <n v="409.77508544921881"/>
    <n v="413.80999755859381"/>
    <n v="408.57998657226563"/>
    <n v="413.7449951171875"/>
    <n v="5285290"/>
    <n v="411.4520202636719"/>
    <x v="2"/>
    <n v="1.6249335772284691E-2"/>
    <x v="0"/>
  </r>
  <r>
    <x v="53"/>
    <n v="409.77499389648438"/>
    <n v="411.17001342773438"/>
    <n v="408.67001342773438"/>
    <n v="409.76998901367188"/>
    <n v="3690433"/>
    <n v="411.16701660156252"/>
    <x v="2"/>
    <n v="1.695352980892454E-2"/>
    <x v="0"/>
  </r>
  <r>
    <x v="54"/>
    <n v="409.97000122070313"/>
    <n v="411.3699951171875"/>
    <n v="408.51998901367188"/>
    <n v="409.760009765625"/>
    <n v="3219928"/>
    <n v="411.42301635742189"/>
    <x v="2"/>
    <n v="1.6804406431323391E-2"/>
    <x v="0"/>
  </r>
  <r>
    <x v="55"/>
    <n v="411.72119140625"/>
    <n v="411.89999389648438"/>
    <n v="409.760009765625"/>
    <n v="409.94000244140619"/>
    <n v="2412396"/>
    <n v="410.99725341796881"/>
    <x v="1"/>
    <n v="2.2205528641343841E-2"/>
    <x v="0"/>
  </r>
  <r>
    <x v="56"/>
    <n v="409.80990600585938"/>
    <n v="413.23989868164063"/>
    <n v="405.5"/>
    <n v="408.28500366210938"/>
    <n v="10757721"/>
    <n v="410.21023559570313"/>
    <x v="2"/>
    <n v="1.941233345408757E-2"/>
    <x v="0"/>
  </r>
  <r>
    <x v="57"/>
    <n v="409.39730834960938"/>
    <n v="414.70001220703119"/>
    <n v="408.60000610351563"/>
    <n v="409.80999755859381"/>
    <n v="6659915"/>
    <n v="410.13468017578123"/>
    <x v="2"/>
    <n v="1.8573594604920911E-2"/>
    <x v="0"/>
  </r>
  <r>
    <x v="58"/>
    <n v="407.41000366210938"/>
    <n v="411.489990234375"/>
    <n v="405.8900146484375"/>
    <n v="409.3800048828125"/>
    <n v="5189482"/>
    <n v="409.66168212890619"/>
    <x v="2"/>
    <n v="1.4799556971869019E-2"/>
    <x v="0"/>
  </r>
  <r>
    <x v="59"/>
    <n v="409.3599853515625"/>
    <n v="410.85000610351563"/>
    <n v="406.3900146484375"/>
    <n v="407.44000244140619"/>
    <n v="5440903"/>
    <n v="409.5396789550781"/>
    <x v="2"/>
    <n v="1.996043907803885E-2"/>
    <x v="0"/>
  </r>
  <r>
    <x v="60"/>
    <n v="411.07998657226563"/>
    <n v="413.760009765625"/>
    <n v="408.66000366210938"/>
    <n v="409.38760375976563"/>
    <n v="4599772"/>
    <n v="409.41143798828119"/>
    <x v="1"/>
    <n v="2.4566817464779619E-2"/>
    <x v="0"/>
  </r>
  <r>
    <x v="61"/>
    <n v="409.79000854492188"/>
    <n v="411.58999633789063"/>
    <n v="409.52999877929688"/>
    <n v="411.1099853515625"/>
    <n v="3411540"/>
    <n v="409.40745849609368"/>
    <x v="1"/>
    <n v="2.136163195421496E-2"/>
    <x v="0"/>
  </r>
  <r>
    <x v="62"/>
    <n v="411.70999145507813"/>
    <n v="412.239990234375"/>
    <n v="409.67001342773438"/>
    <n v="409.78500366210938"/>
    <n v="2596449"/>
    <n v="409.8699951171875"/>
    <x v="1"/>
    <n v="2.4988999398541632E-2"/>
    <x v="0"/>
  </r>
  <r>
    <x v="63"/>
    <n v="403.3800048828125"/>
    <n v="407.70001220703119"/>
    <n v="402"/>
    <n v="407.28500366210938"/>
    <n v="10591210"/>
    <n v="409.06399536132813"/>
    <x v="2"/>
    <n v="6.229476433979233E-3"/>
    <x v="0"/>
  </r>
  <r>
    <x v="64"/>
    <n v="397.97000122070313"/>
    <n v="404.07000732421881"/>
    <n v="396.6199951171875"/>
    <n v="403.39999389648438"/>
    <n v="8461994"/>
    <n v="406.78599853515618"/>
    <x v="2"/>
    <n v="-1.706451444608752E-3"/>
    <x v="0"/>
  </r>
  <r>
    <x v="65"/>
    <n v="397.42001342773438"/>
    <n v="399.2698974609375"/>
    <n v="397.3900146484375"/>
    <n v="397.989990234375"/>
    <n v="4886095"/>
    <n v="404.05400390624999"/>
    <x v="2"/>
    <n v="3.65451654022061E-3"/>
    <x v="0"/>
  </r>
  <r>
    <x v="66"/>
    <n v="396.04000854492188"/>
    <n v="397.45999145507813"/>
    <n v="394.239990234375"/>
    <n v="397.41009521484381"/>
    <n v="6773472"/>
    <n v="401.30400390624999"/>
    <x v="2"/>
    <n v="7.0232386550230343E-3"/>
    <x v="0"/>
  </r>
  <r>
    <x v="67"/>
    <n v="394.39498901367188"/>
    <n v="396.3599853515625"/>
    <n v="394.17001342773438"/>
    <n v="396.05999755859381"/>
    <n v="4394057"/>
    <n v="397.84100341796881"/>
    <x v="2"/>
    <n v="1.156960414579747E-2"/>
    <x v="0"/>
  </r>
  <r>
    <x v="68"/>
    <n v="395.53118896484381"/>
    <n v="396.02999877929688"/>
    <n v="394.04000854492188"/>
    <n v="394.39511108398438"/>
    <n v="4861633"/>
    <n v="396.271240234375"/>
    <x v="2"/>
    <n v="1.8502513094433529E-2"/>
    <x v="0"/>
  </r>
  <r>
    <x v="69"/>
    <n v="399.85000610351563"/>
    <n v="400"/>
    <n v="395.45001220703119"/>
    <n v="395.52999877929688"/>
    <n v="6059604"/>
    <n v="396.64724121093752"/>
    <x v="1"/>
    <n v="2.8647543505110229E-2"/>
    <x v="0"/>
  </r>
  <r>
    <x v="70"/>
    <n v="407.44500732421881"/>
    <n v="407.54000854492188"/>
    <n v="397.6400146484375"/>
    <n v="399.54998779296881"/>
    <n v="11029900"/>
    <n v="398.65223999023442"/>
    <x v="3"/>
    <n v="4.291452511469647E-2"/>
    <x v="0"/>
  </r>
  <r>
    <x v="71"/>
    <n v="403.32998657226563"/>
    <n v="407.70999145507813"/>
    <n v="402.80999755859381"/>
    <n v="407.45001220703119"/>
    <n v="6812426"/>
    <n v="400.1102355957031"/>
    <x v="1"/>
    <n v="2.86195507477441E-2"/>
    <x v="0"/>
  </r>
  <r>
    <x v="72"/>
    <n v="404.04010009765619"/>
    <n v="405.67001342773438"/>
    <n v="402.260009765625"/>
    <n v="403.32998657226563"/>
    <n v="4907449"/>
    <n v="402.03925781250001"/>
    <x v="1"/>
    <n v="2.548646286293408E-2"/>
    <x v="0"/>
  </r>
  <r>
    <x v="73"/>
    <n v="405.32989501953119"/>
    <n v="406.02999877929688"/>
    <n v="403.70001220703119"/>
    <n v="404.08999633789063"/>
    <n v="3316814"/>
    <n v="403.99899902343748"/>
    <x v="1"/>
    <n v="2.376969916552852E-2"/>
    <x v="0"/>
  </r>
  <r>
    <x v="74"/>
    <n v="408.6400146484375"/>
    <n v="409.54998779296881"/>
    <n v="405.14999389648438"/>
    <n v="405.33999633789063"/>
    <n v="5302925"/>
    <n v="405.75700073242189"/>
    <x v="1"/>
    <n v="2.7658440966983579E-2"/>
    <x v="0"/>
  </r>
  <r>
    <x v="75"/>
    <n v="408.760009765625"/>
    <n v="410.41000366210938"/>
    <n v="407.91000366210938"/>
    <n v="408.6400146484375"/>
    <n v="4666369"/>
    <n v="406.02000122070308"/>
    <x v="1"/>
    <n v="2.7294343941748209E-2"/>
    <x v="0"/>
  </r>
  <r>
    <x v="76"/>
    <n v="409.3599853515625"/>
    <n v="410.82000732421881"/>
    <n v="408.67001342773438"/>
    <n v="408.79998779296881"/>
    <n v="3668801"/>
    <n v="407.22600097656249"/>
    <x v="1"/>
    <n v="2.5755403056745639E-2"/>
    <x v="0"/>
  </r>
  <r>
    <x v="77"/>
    <n v="414.82998657226563"/>
    <n v="420.33999633789063"/>
    <n v="412.14999389648438"/>
    <n v="412.14999389648438"/>
    <n v="11792494"/>
    <n v="409.38397827148441"/>
    <x v="3"/>
    <n v="3.3982586355314238E-2"/>
    <x v="0"/>
  </r>
  <r>
    <x v="78"/>
    <n v="413.96011352539063"/>
    <n v="415.79998779296881"/>
    <n v="413.3599853515625"/>
    <n v="414.80999755859381"/>
    <n v="5681106"/>
    <n v="411.11002197265623"/>
    <x v="1"/>
    <n v="2.7482319892548561E-2"/>
    <x v="0"/>
  </r>
  <r>
    <x v="79"/>
    <n v="414.08499145507813"/>
    <n v="416.92001342773438"/>
    <n v="413.16000366210938"/>
    <n v="413.95001220703119"/>
    <n v="5585583"/>
    <n v="412.19901733398439"/>
    <x v="1"/>
    <n v="2.5076935649379649E-2"/>
    <x v="0"/>
  </r>
  <r>
    <x v="80"/>
    <n v="415.1300048828125"/>
    <n v="415.30999755859381"/>
    <n v="413.79998779296881"/>
    <n v="414.09500122070313"/>
    <n v="3208768"/>
    <n v="413.4730163574219"/>
    <x v="1"/>
    <n v="2.449743765772245E-2"/>
    <x v="0"/>
  </r>
  <r>
    <x v="81"/>
    <n v="415.92001342773438"/>
    <n v="416.54998779296881"/>
    <n v="414.89999389648438"/>
    <n v="415.14999389648438"/>
    <n v="2995514"/>
    <n v="414.78502197265618"/>
    <x v="1"/>
    <n v="2.320034351446288E-2"/>
    <x v="0"/>
  </r>
  <r>
    <x v="82"/>
    <n v="415.70730590820313"/>
    <n v="416.60000610351563"/>
    <n v="415.45001220703119"/>
    <n v="415.95169067382813"/>
    <n v="3293688"/>
    <n v="414.96048583984373"/>
    <x v="1"/>
    <n v="2.2244630399524842E-2"/>
    <x v="0"/>
  </r>
  <r>
    <x v="83"/>
    <n v="417.3900146484375"/>
    <n v="417.6400146484375"/>
    <n v="414.85000610351563"/>
    <n v="415.69390869140619"/>
    <n v="4018059"/>
    <n v="415.64646606445308"/>
    <x v="1"/>
    <n v="2.4688558633497278E-2"/>
    <x v="0"/>
  </r>
  <r>
    <x v="84"/>
    <n v="407.8175048828125"/>
    <n v="416.79998779296881"/>
    <n v="406.47000122070313"/>
    <n v="414.5"/>
    <n v="11463131"/>
    <n v="414.39296875000002"/>
    <x v="2"/>
    <n v="4.216631281610453E-3"/>
    <x v="0"/>
  </r>
  <r>
    <x v="85"/>
    <n v="409.08331298828119"/>
    <n v="410.29998779296881"/>
    <n v="404.83010864257813"/>
    <n v="407.80999755859381"/>
    <n v="5522506"/>
    <n v="413.18363037109373"/>
    <x v="2"/>
    <n v="1.028192151259512E-2"/>
    <x v="0"/>
  </r>
  <r>
    <x v="86"/>
    <n v="405.20999145507813"/>
    <n v="410.17001342773438"/>
    <n v="404.27999877929688"/>
    <n v="409.07998657226563"/>
    <n v="5978869"/>
    <n v="411.0416259765625"/>
    <x v="2"/>
    <n v="5.9311684919307354E-3"/>
    <x v="0"/>
  </r>
  <r>
    <x v="87"/>
    <n v="405.20999145507813"/>
    <n v="406.46990966796881"/>
    <n v="403.66000366210938"/>
    <n v="405.20999145507813"/>
    <n v="4467298"/>
    <n v="408.94216308593752"/>
    <x v="2"/>
    <n v="1.1095505528823759E-2"/>
    <x v="0"/>
  </r>
  <r>
    <x v="88"/>
    <n v="408.18991088867188"/>
    <n v="409.38900756835938"/>
    <n v="405.07998657226563"/>
    <n v="405.22000122070313"/>
    <n v="4046022"/>
    <n v="407.10214233398438"/>
    <x v="1"/>
    <n v="2.313467289893965E-2"/>
    <x v="0"/>
  </r>
  <r>
    <x v="89"/>
    <n v="407.70999145507813"/>
    <n v="409.07998657226563"/>
    <n v="407.1199951171875"/>
    <n v="408.17999267578119"/>
    <n v="3426907"/>
    <n v="407.08063964843751"/>
    <x v="1"/>
    <n v="2.1985727164234071E-2"/>
    <x v="0"/>
  </r>
  <r>
    <x v="90"/>
    <n v="408.48001098632813"/>
    <n v="409.20001220703119"/>
    <n v="407.69000244140619"/>
    <n v="407.70001220703119"/>
    <n v="2644632"/>
    <n v="406.95997924804692"/>
    <x v="1"/>
    <n v="2.421947856228069E-2"/>
    <x v="0"/>
  </r>
  <r>
    <x v="91"/>
    <n v="406.85400390625"/>
    <n v="407.1099853515625"/>
    <n v="400.89999389648438"/>
    <n v="402.94000244140619"/>
    <n v="8592703"/>
    <n v="407.28878173828127"/>
    <x v="2"/>
    <n v="1.931888492300066E-2"/>
    <x v="0"/>
  </r>
  <r>
    <x v="92"/>
    <n v="402.30999755859381"/>
    <n v="406.92001342773438"/>
    <n v="401.82998657226563"/>
    <n v="406.8599853515625"/>
    <n v="10497247"/>
    <n v="406.70878295898439"/>
    <x v="2"/>
    <n v="9.3718721423196628E-3"/>
    <x v="0"/>
  </r>
  <r>
    <x v="93"/>
    <n v="400.909912109375"/>
    <n v="403.54000854492188"/>
    <n v="399.02999877929688"/>
    <n v="402.260009765625"/>
    <n v="532089"/>
    <n v="405.25278320312498"/>
    <x v="2"/>
    <n v="9.4730104428017246E-3"/>
    <x v="0"/>
  </r>
  <r>
    <x v="94"/>
    <n v="399.73001098632813"/>
    <n v="401.6099853515625"/>
    <n v="398.52999877929688"/>
    <n v="400.92001342773438"/>
    <n v="4264145"/>
    <n v="403.65678710937499"/>
    <x v="2"/>
    <n v="1.0481625327058619E-2"/>
    <x v="0"/>
  </r>
  <r>
    <x v="95"/>
    <n v="399.73001098632813"/>
    <n v="400.42001342773438"/>
    <n v="398.1199951171875"/>
    <n v="399.70001220703119"/>
    <n v="3641343"/>
    <n v="401.90678710937499"/>
    <x v="2"/>
    <n v="1.4881508337347639E-2"/>
    <x v="0"/>
  </r>
  <r>
    <x v="96"/>
    <n v="400.17999267578119"/>
    <n v="401.01998901367188"/>
    <n v="398.75"/>
    <n v="399.7349853515625"/>
    <n v="3782831"/>
    <n v="400.57198486328127"/>
    <x v="2"/>
    <n v="1.9409611086981051E-2"/>
    <x v="0"/>
  </r>
  <r>
    <x v="97"/>
    <n v="402.42001342773438"/>
    <n v="403.3900146484375"/>
    <n v="399.27999877929688"/>
    <n v="400.1300048828125"/>
    <n v="4543627"/>
    <n v="400.5939880371094"/>
    <x v="1"/>
    <n v="2.505948423009019E-2"/>
    <x v="0"/>
  </r>
  <r>
    <x v="98"/>
    <n v="398.65411376953119"/>
    <n v="399.21868896484381"/>
    <n v="388.25"/>
    <n v="390.32000732421881"/>
    <n v="11632699"/>
    <n v="400.1428283691406"/>
    <x v="2"/>
    <n v="1.6611777518734109E-2"/>
    <x v="0"/>
  </r>
  <r>
    <x v="99"/>
    <n v="400.17001342773438"/>
    <n v="403.70901489257813"/>
    <n v="397.739990234375"/>
    <n v="398.66500854492188"/>
    <n v="6369385"/>
    <n v="400.2308288574219"/>
    <x v="1"/>
    <n v="2.0253111339189441E-2"/>
    <x v="0"/>
  </r>
  <r>
    <x v="100"/>
    <n v="402.51998901367188"/>
    <n v="404.53988647460938"/>
    <n v="399.739990234375"/>
    <n v="400.20999145507813"/>
    <n v="5307407"/>
    <n v="400.7888244628906"/>
    <x v="1"/>
    <n v="2.4815707417616389E-2"/>
    <x v="0"/>
  </r>
  <r>
    <x v="101"/>
    <n v="401.75"/>
    <n v="403.19000244140619"/>
    <n v="400.97000122070313"/>
    <n v="402.47000122070313"/>
    <n v="3707542"/>
    <n v="401.10282592773439"/>
    <x v="1"/>
    <n v="2.205457825843422E-2"/>
    <x v="0"/>
  </r>
  <r>
    <x v="102"/>
    <n v="402.64999389648438"/>
    <n v="402.8699951171875"/>
    <n v="400.10000610351563"/>
    <n v="401.78628540039063"/>
    <n v="3484032"/>
    <n v="401.14882202148442"/>
    <x v="1"/>
    <n v="2.422671626016519E-2"/>
    <x v="0"/>
  </r>
  <r>
    <x v="103"/>
    <n v="399.55999755859381"/>
    <n v="402.79998779296881"/>
    <n v="398.91000366210938"/>
    <n v="402.66000366210938"/>
    <n v="15081453"/>
    <n v="401.32999877929689"/>
    <x v="2"/>
    <n v="1.5907817664208249E-2"/>
    <x v="0"/>
  </r>
  <r>
    <x v="104"/>
    <n v="403.2349853515625"/>
    <n v="403.489990234375"/>
    <n v="399.55999755859381"/>
    <n v="399.57000732421881"/>
    <n v="5267667"/>
    <n v="401.9429931640625"/>
    <x v="1"/>
    <n v="2.3688129323731381E-2"/>
    <x v="0"/>
  </r>
  <r>
    <x v="105"/>
    <n v="386.72000122070313"/>
    <n v="396.33999633789063"/>
    <n v="386.55999755859381"/>
    <n v="395.08999633789063"/>
    <n v="17290057"/>
    <n v="398.78299560546873"/>
    <x v="2"/>
    <n v="-1.04586943471892E-2"/>
    <x v="0"/>
  </r>
  <r>
    <x v="106"/>
    <n v="392.54000854492188"/>
    <n v="393.55999755859381"/>
    <n v="385.39999389648438"/>
    <n v="386.69000244140619"/>
    <n v="12190306"/>
    <n v="396.94099731445311"/>
    <x v="2"/>
    <n v="9.0946307825149203E-3"/>
    <x v="0"/>
  </r>
  <r>
    <x v="107"/>
    <n v="392"/>
    <n v="393.54998779296881"/>
    <n v="389.8599853515625"/>
    <n v="392.52999877929688"/>
    <n v="6657822"/>
    <n v="394.81099853515627"/>
    <x v="2"/>
    <n v="1.314300129453385E-2"/>
    <x v="0"/>
  </r>
  <r>
    <x v="108"/>
    <n v="393.29000854492188"/>
    <n v="393.92001342773438"/>
    <n v="389.07998657226563"/>
    <n v="391.95999145507813"/>
    <n v="5541323"/>
    <n v="393.5570007324219"/>
    <x v="2"/>
    <n v="1.9715910282520809E-2"/>
    <x v="0"/>
  </r>
  <r>
    <x v="109"/>
    <n v="391.635009765625"/>
    <n v="394.76998901367188"/>
    <n v="391"/>
    <n v="393.29998779296881"/>
    <n v="5557143"/>
    <n v="391.23700561523441"/>
    <x v="1"/>
    <n v="2.144622121545699E-2"/>
    <x v="0"/>
  </r>
  <r>
    <x v="110"/>
    <n v="392.54998779296881"/>
    <n v="394.70001220703119"/>
    <n v="391.23001098632813"/>
    <n v="391.67001342773438"/>
    <n v="5268077"/>
    <n v="392.40300292968749"/>
    <x v="1"/>
    <n v="2.0790383975262141E-2"/>
    <x v="0"/>
  </r>
  <r>
    <x v="111"/>
    <n v="392.35000610351563"/>
    <n v="393.5"/>
    <n v="391.67001342773438"/>
    <n v="392.54010009765619"/>
    <n v="5308335"/>
    <n v="392.36500244140632"/>
    <x v="1"/>
    <n v="2.0369162881715631E-2"/>
    <x v="0"/>
  </r>
  <r>
    <x v="112"/>
    <n v="407.67001342773438"/>
    <n v="407.85238647460938"/>
    <n v="394.58999633789063"/>
    <n v="397.84500122070313"/>
    <n v="20741277"/>
    <n v="395.49900512695308"/>
    <x v="3"/>
    <n v="5.1810002623411261E-2"/>
    <x v="0"/>
  </r>
  <r>
    <x v="113"/>
    <n v="404.19500732421881"/>
    <n v="407.79000854492188"/>
    <n v="401.42999267578119"/>
    <n v="407.67001342773438"/>
    <n v="10733226"/>
    <n v="397.68000488281251"/>
    <x v="3"/>
    <n v="3.7125025046836548E-2"/>
    <x v="0"/>
  </r>
  <r>
    <x v="114"/>
    <n v="404.8599853515625"/>
    <n v="407.14999389648438"/>
    <n v="403.8800048828125"/>
    <n v="404.17999267578119"/>
    <n v="7361876"/>
    <n v="400.32499999999999"/>
    <x v="3"/>
    <n v="3.1967611396257187E-2"/>
    <x v="0"/>
  </r>
  <r>
    <x v="115"/>
    <n v="403.77999877929688"/>
    <n v="405.04000854492188"/>
    <n v="403.27999877929688"/>
    <n v="404.864990234375"/>
    <n v="6209136"/>
    <n v="402.57100219726561"/>
    <x v="1"/>
    <n v="2.3472641270257E-2"/>
    <x v="0"/>
  </r>
  <r>
    <x v="116"/>
    <n v="406.32501220703119"/>
    <n v="406.83999633789063"/>
    <n v="403.72000122070313"/>
    <n v="403.77999877929688"/>
    <n v="5290009"/>
    <n v="405.36600341796873"/>
    <x v="1"/>
    <n v="2.282222953813462E-2"/>
    <x v="0"/>
  </r>
  <r>
    <x v="117"/>
    <n v="406.95001220703119"/>
    <n v="407.3800048828125"/>
    <n v="404.85000610351563"/>
    <n v="406.32998657226563"/>
    <n v="5657840"/>
    <n v="405.22200317382811"/>
    <x v="1"/>
    <n v="2.4759542286845241E-2"/>
    <x v="0"/>
  </r>
  <r>
    <x v="118"/>
    <n v="406.07000732421881"/>
    <n v="408.32998657226563"/>
    <n v="404.75"/>
    <n v="406.95001220703119"/>
    <n v="6921220"/>
    <n v="405.59700317382811"/>
    <x v="1"/>
    <n v="2.159815552989432E-2"/>
    <x v="0"/>
  </r>
  <r>
    <x v="119"/>
    <n v="403.6400146484375"/>
    <n v="407.3800048828125"/>
    <n v="400.29998779296881"/>
    <n v="401.57000732421881"/>
    <n v="12709534"/>
    <n v="405.35300903320308"/>
    <x v="2"/>
    <n v="1.6095987421314031E-2"/>
    <x v="0"/>
  </r>
  <r>
    <x v="120"/>
    <n v="405.41531372070313"/>
    <n v="407.05999755859381"/>
    <n v="401.76998901367188"/>
    <n v="403.67001342773438"/>
    <n v="8003266"/>
    <n v="405.68007202148442"/>
    <x v="2"/>
    <n v="1.974221600774622E-2"/>
    <x v="0"/>
  </r>
  <r>
    <x v="121"/>
    <n v="403.15008544921881"/>
    <n v="408.61990356445313"/>
    <n v="403.04998779296881"/>
    <n v="405.45999145507813"/>
    <n v="6229475"/>
    <n v="405.04508666992189"/>
    <x v="2"/>
    <n v="1.5634189259348241E-2"/>
    <x v="0"/>
  </r>
  <r>
    <x v="122"/>
    <n v="399.73001098632813"/>
    <n v="403.42999267578119"/>
    <n v="399.42001342773438"/>
    <n v="403.17001342773438"/>
    <n v="6761936"/>
    <n v="403.60108642578132"/>
    <x v="2"/>
    <n v="1.062108113920234E-2"/>
    <x v="0"/>
  </r>
  <r>
    <x v="123"/>
    <n v="401.75"/>
    <n v="402.77999877929688"/>
    <n v="399.55999755859381"/>
    <n v="399.70001220703119"/>
    <n v="4565821"/>
    <n v="402.73708496093752"/>
    <x v="2"/>
    <n v="1.7907202738974799E-2"/>
    <x v="0"/>
  </r>
  <r>
    <x v="124"/>
    <n v="402.79000854492188"/>
    <n v="404.3800048828125"/>
    <n v="399.760009765625"/>
    <n v="401.70001220703119"/>
    <n v="5510901"/>
    <n v="402.56708374023441"/>
    <x v="1"/>
    <n v="2.097322260494219E-2"/>
    <x v="0"/>
  </r>
  <r>
    <x v="125"/>
    <n v="405.40130615234381"/>
    <n v="405.8900146484375"/>
    <n v="402.57000732421881"/>
    <n v="402.76998901367188"/>
    <n v="4836899"/>
    <n v="402.56428222656251"/>
    <x v="1"/>
    <n v="2.7599368499000781E-2"/>
    <x v="0"/>
  </r>
  <r>
    <x v="126"/>
    <n v="397.30999755859381"/>
    <n v="398.5"/>
    <n v="394.22000122070313"/>
    <n v="398.18499755859381"/>
    <n v="16938293"/>
    <n v="401.39626464843752"/>
    <x v="2"/>
    <n v="1.002027313530965E-2"/>
    <x v="0"/>
  </r>
  <r>
    <x v="127"/>
    <n v="399.6199951171875"/>
    <n v="399.95498657226563"/>
    <n v="395.41000366210938"/>
    <n v="397.26998901367188"/>
    <n v="10989461"/>
    <n v="401.3742614746094"/>
    <x v="2"/>
    <n v="1.5948316475234259E-2"/>
    <x v="0"/>
  </r>
  <r>
    <x v="128"/>
    <n v="398.8599853515625"/>
    <n v="401.41000366210938"/>
    <n v="397.71099853515619"/>
    <n v="399.6300048828125"/>
    <n v="8265638"/>
    <n v="400.7962585449219"/>
    <x v="2"/>
    <n v="1.547850404146826E-2"/>
    <x v="0"/>
  </r>
  <r>
    <x v="129"/>
    <n v="401.17001342773438"/>
    <n v="402.35000610351563"/>
    <n v="397.14999389648438"/>
    <n v="398.91000366210938"/>
    <n v="6641166"/>
    <n v="400.47225952148438"/>
    <x v="1"/>
    <n v="2.218604866175905E-2"/>
    <x v="0"/>
  </r>
  <r>
    <x v="130"/>
    <n v="399.30999755859381"/>
    <n v="401.75"/>
    <n v="398.29998779296881"/>
    <n v="401.16500854492188"/>
    <n v="5725425"/>
    <n v="399.25399780273438"/>
    <x v="1"/>
    <n v="2.0551286711368629E-2"/>
    <x v="0"/>
  </r>
  <r>
    <x v="131"/>
    <n v="396.72000122070313"/>
    <n v="400.82998657226563"/>
    <n v="396.5"/>
    <n v="399.30999755859381"/>
    <n v="5982618"/>
    <n v="399.13599853515632"/>
    <x v="2"/>
    <n v="1.4231563331592411E-2"/>
    <x v="0"/>
  </r>
  <r>
    <x v="132"/>
    <n v="396.55999755859381"/>
    <n v="398.20001220703119"/>
    <n v="396.20001220703119"/>
    <n v="396.73001098632813"/>
    <n v="5246449"/>
    <n v="398.52399902343751"/>
    <x v="2"/>
    <n v="1.5379399295501381E-2"/>
    <x v="0"/>
  </r>
  <r>
    <x v="98"/>
    <n v="398.65411376953119"/>
    <n v="399.21868896484381"/>
    <n v="388.25"/>
    <n v="390.32000732421881"/>
    <n v="11632699"/>
    <m/>
    <x v="0"/>
    <n v="0"/>
    <x v="1"/>
  </r>
  <r>
    <x v="99"/>
    <n v="400.17001342773438"/>
    <n v="403.70901489257813"/>
    <n v="397.739990234375"/>
    <n v="398.66500854492188"/>
    <n v="6369385"/>
    <m/>
    <x v="0"/>
    <n v="0"/>
    <x v="1"/>
  </r>
  <r>
    <x v="100"/>
    <n v="402.51998901367188"/>
    <n v="404.53988647460938"/>
    <n v="399.739990234375"/>
    <n v="400.20999145507813"/>
    <n v="5307407"/>
    <m/>
    <x v="0"/>
    <n v="0"/>
    <x v="1"/>
  </r>
  <r>
    <x v="101"/>
    <n v="401.75"/>
    <n v="403.19000244140619"/>
    <n v="400.97000122070313"/>
    <n v="402.47000122070313"/>
    <n v="3707542"/>
    <m/>
    <x v="0"/>
    <n v="0"/>
    <x v="1"/>
  </r>
  <r>
    <x v="102"/>
    <n v="402.64999389648438"/>
    <n v="402.8699951171875"/>
    <n v="400.10000610351563"/>
    <n v="401.78628540039063"/>
    <n v="3484032"/>
    <n v="401.14882202148442"/>
    <x v="1"/>
    <n v="2.422671626016519E-2"/>
    <x v="1"/>
  </r>
  <r>
    <x v="103"/>
    <n v="399.55999755859381"/>
    <n v="402.79998779296881"/>
    <n v="398.91000366210938"/>
    <n v="402.66000366210938"/>
    <n v="15081453"/>
    <n v="401.32999877929689"/>
    <x v="2"/>
    <n v="1.5907817664208249E-2"/>
    <x v="1"/>
  </r>
  <r>
    <x v="104"/>
    <n v="403.2349853515625"/>
    <n v="403.489990234375"/>
    <n v="399.55999755859381"/>
    <n v="399.57000732421881"/>
    <n v="5267667"/>
    <n v="401.9429931640625"/>
    <x v="1"/>
    <n v="2.3688129323731381E-2"/>
    <x v="1"/>
  </r>
  <r>
    <x v="105"/>
    <n v="386.72000122070313"/>
    <n v="396.33999633789063"/>
    <n v="386.55999755859381"/>
    <n v="395.08999633789063"/>
    <n v="17290057"/>
    <n v="398.78299560546873"/>
    <x v="2"/>
    <n v="-1.04586943471892E-2"/>
    <x v="1"/>
  </r>
  <r>
    <x v="106"/>
    <n v="392.54000854492188"/>
    <n v="393.55999755859381"/>
    <n v="385.39999389648438"/>
    <n v="386.69000244140619"/>
    <n v="12190306"/>
    <n v="396.94099731445311"/>
    <x v="2"/>
    <n v="9.0946307825149203E-3"/>
    <x v="1"/>
  </r>
  <r>
    <x v="107"/>
    <n v="392"/>
    <n v="393.54998779296881"/>
    <n v="389.8599853515625"/>
    <n v="392.52999877929688"/>
    <n v="6657822"/>
    <n v="394.81099853515627"/>
    <x v="2"/>
    <n v="1.314300129453385E-2"/>
    <x v="1"/>
  </r>
  <r>
    <x v="108"/>
    <n v="393.29000854492188"/>
    <n v="393.92001342773438"/>
    <n v="389.07998657226563"/>
    <n v="391.95999145507813"/>
    <n v="5541323"/>
    <n v="393.5570007324219"/>
    <x v="2"/>
    <n v="1.9715910282520809E-2"/>
    <x v="1"/>
  </r>
  <r>
    <x v="109"/>
    <n v="391.635009765625"/>
    <n v="394.76998901367188"/>
    <n v="391"/>
    <n v="393.29998779296881"/>
    <n v="5557143"/>
    <n v="391.23700561523441"/>
    <x v="1"/>
    <n v="2.144622121545699E-2"/>
    <x v="1"/>
  </r>
  <r>
    <x v="110"/>
    <n v="392.54998779296881"/>
    <n v="394.70001220703119"/>
    <n v="391.23001098632813"/>
    <n v="391.67001342773438"/>
    <n v="5268077"/>
    <n v="392.40300292968749"/>
    <x v="1"/>
    <n v="2.0790383975262141E-2"/>
    <x v="1"/>
  </r>
  <r>
    <x v="111"/>
    <n v="392.35000610351563"/>
    <n v="393.5"/>
    <n v="391.67001342773438"/>
    <n v="392.54010009765619"/>
    <n v="5308335"/>
    <n v="392.36500244140632"/>
    <x v="1"/>
    <n v="2.0369162881715631E-2"/>
    <x v="1"/>
  </r>
  <r>
    <x v="112"/>
    <n v="407.67001342773438"/>
    <n v="407.85238647460938"/>
    <n v="394.58999633789063"/>
    <n v="397.84500122070313"/>
    <n v="20741277"/>
    <n v="395.49900512695308"/>
    <x v="3"/>
    <n v="5.1810002623411261E-2"/>
    <x v="1"/>
  </r>
  <r>
    <x v="113"/>
    <n v="404.19500732421881"/>
    <n v="407.79000854492188"/>
    <n v="401.42999267578119"/>
    <n v="407.67001342773438"/>
    <n v="10733226"/>
    <n v="397.68000488281251"/>
    <x v="3"/>
    <n v="3.7125025046836548E-2"/>
    <x v="1"/>
  </r>
  <r>
    <x v="114"/>
    <n v="404.8599853515625"/>
    <n v="407.14999389648438"/>
    <n v="403.8800048828125"/>
    <n v="404.17999267578119"/>
    <n v="7361876"/>
    <n v="400.32499999999999"/>
    <x v="3"/>
    <n v="3.1967611396257187E-2"/>
    <x v="1"/>
  </r>
  <r>
    <x v="115"/>
    <n v="403.77999877929688"/>
    <n v="405.04000854492188"/>
    <n v="403.27999877929688"/>
    <n v="404.864990234375"/>
    <n v="6209136"/>
    <n v="402.57100219726561"/>
    <x v="1"/>
    <n v="2.3472641270257E-2"/>
    <x v="1"/>
  </r>
  <r>
    <x v="116"/>
    <n v="406.32501220703119"/>
    <n v="406.83999633789063"/>
    <n v="403.72000122070313"/>
    <n v="403.77999877929688"/>
    <n v="5290009"/>
    <n v="405.36600341796873"/>
    <x v="1"/>
    <n v="2.282222953813462E-2"/>
    <x v="1"/>
  </r>
  <r>
    <x v="117"/>
    <n v="406.95001220703119"/>
    <n v="407.3800048828125"/>
    <n v="404.85000610351563"/>
    <n v="406.32998657226563"/>
    <n v="5657840"/>
    <n v="405.22200317382811"/>
    <x v="1"/>
    <n v="2.4759542286845241E-2"/>
    <x v="1"/>
  </r>
  <r>
    <x v="118"/>
    <n v="406.07000732421881"/>
    <n v="408.32998657226563"/>
    <n v="404.75"/>
    <n v="406.95001220703119"/>
    <n v="6921220"/>
    <n v="405.59700317382811"/>
    <x v="1"/>
    <n v="2.159815552989432E-2"/>
    <x v="1"/>
  </r>
  <r>
    <x v="119"/>
    <n v="403.6400146484375"/>
    <n v="407.3800048828125"/>
    <n v="400.29998779296881"/>
    <n v="401.57000732421881"/>
    <n v="12709534"/>
    <n v="405.35300903320308"/>
    <x v="2"/>
    <n v="1.6095987421314031E-2"/>
    <x v="1"/>
  </r>
  <r>
    <x v="120"/>
    <n v="405.41531372070313"/>
    <n v="407.05999755859381"/>
    <n v="401.76998901367188"/>
    <n v="403.67001342773438"/>
    <n v="8003266"/>
    <n v="405.68007202148442"/>
    <x v="2"/>
    <n v="1.974221600774622E-2"/>
    <x v="1"/>
  </r>
  <r>
    <x v="121"/>
    <n v="403.15008544921881"/>
    <n v="408.61990356445313"/>
    <n v="403.04998779296881"/>
    <n v="405.45999145507813"/>
    <n v="6229475"/>
    <n v="405.04508666992189"/>
    <x v="2"/>
    <n v="1.5634189259348241E-2"/>
    <x v="1"/>
  </r>
  <r>
    <x v="122"/>
    <n v="399.73001098632813"/>
    <n v="403.42999267578119"/>
    <n v="399.42001342773438"/>
    <n v="403.17001342773438"/>
    <n v="6761936"/>
    <n v="403.60108642578132"/>
    <x v="2"/>
    <n v="1.062108113920234E-2"/>
    <x v="1"/>
  </r>
  <r>
    <x v="123"/>
    <n v="401.75"/>
    <n v="402.77999877929688"/>
    <n v="399.55999755859381"/>
    <n v="399.70001220703119"/>
    <n v="4565821"/>
    <n v="402.73708496093752"/>
    <x v="2"/>
    <n v="1.7907202738974799E-2"/>
    <x v="1"/>
  </r>
  <r>
    <x v="124"/>
    <n v="402.79000854492188"/>
    <n v="404.3800048828125"/>
    <n v="399.760009765625"/>
    <n v="401.70001220703119"/>
    <n v="5510901"/>
    <n v="402.56708374023441"/>
    <x v="1"/>
    <n v="2.097322260494219E-2"/>
    <x v="1"/>
  </r>
  <r>
    <x v="125"/>
    <n v="405.40130615234381"/>
    <n v="405.8900146484375"/>
    <n v="402.57000732421881"/>
    <n v="402.76998901367188"/>
    <n v="4836899"/>
    <n v="402.56428222656251"/>
    <x v="1"/>
    <n v="2.7599368499000781E-2"/>
    <x v="1"/>
  </r>
  <r>
    <x v="126"/>
    <n v="397.30999755859381"/>
    <n v="398.5"/>
    <n v="394.22000122070313"/>
    <n v="398.18499755859381"/>
    <n v="16938293"/>
    <n v="401.39626464843752"/>
    <x v="2"/>
    <n v="1.002027313530965E-2"/>
    <x v="1"/>
  </r>
  <r>
    <x v="127"/>
    <n v="399.6199951171875"/>
    <n v="399.95498657226563"/>
    <n v="395.41000366210938"/>
    <n v="397.26998901367188"/>
    <n v="10989461"/>
    <n v="401.3742614746094"/>
    <x v="2"/>
    <n v="1.5948316475234259E-2"/>
    <x v="1"/>
  </r>
  <r>
    <x v="128"/>
    <n v="398.8599853515625"/>
    <n v="401.41000366210938"/>
    <n v="397.71099853515619"/>
    <n v="399.6300048828125"/>
    <n v="8265638"/>
    <n v="400.7962585449219"/>
    <x v="2"/>
    <n v="1.547850404146826E-2"/>
    <x v="1"/>
  </r>
  <r>
    <x v="129"/>
    <n v="401.17001342773438"/>
    <n v="402.35000610351563"/>
    <n v="397.14999389648438"/>
    <n v="398.91000366210938"/>
    <n v="6641166"/>
    <n v="400.47225952148438"/>
    <x v="1"/>
    <n v="2.218604866175905E-2"/>
    <x v="1"/>
  </r>
  <r>
    <x v="130"/>
    <n v="399.30999755859381"/>
    <n v="401.75"/>
    <n v="398.29998779296881"/>
    <n v="401.16500854492188"/>
    <n v="5725425"/>
    <n v="399.25399780273438"/>
    <x v="1"/>
    <n v="2.0551286711368629E-2"/>
    <x v="1"/>
  </r>
  <r>
    <x v="131"/>
    <n v="396.72000122070313"/>
    <n v="400.82998657226563"/>
    <n v="396.5"/>
    <n v="399.30999755859381"/>
    <n v="5982618"/>
    <n v="399.13599853515632"/>
    <x v="2"/>
    <n v="1.4231563331592411E-2"/>
    <x v="1"/>
  </r>
  <r>
    <x v="132"/>
    <n v="396.55999755859381"/>
    <n v="398.20001220703119"/>
    <n v="396.20001220703119"/>
    <n v="396.73001098632813"/>
    <n v="5246449"/>
    <n v="398.52399902343751"/>
    <x v="2"/>
    <n v="1.5379399295501381E-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1E5EB-7C55-42CA-B9BC-0E9EDCFD45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14">
    <pivotField axis="axisRow" numFmtId="16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numFmtId="2" showAll="0"/>
    <pivotField numFmtId="2" showAll="0"/>
    <pivotField showAll="0"/>
    <pivotField showAll="0"/>
    <pivotField showAll="0"/>
    <pivotField dataField="1" numFmtId="10" showAll="0"/>
    <pivotField showAll="0"/>
    <pivotField showAll="0"/>
    <pivotField dataField="1" showAll="0"/>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3">
    <field x="13"/>
    <field x="12"/>
    <field x="0"/>
  </rowFields>
  <rowItems count="6">
    <i>
      <x v="62"/>
    </i>
    <i>
      <x v="63"/>
    </i>
    <i>
      <x v="64"/>
    </i>
    <i>
      <x v="65"/>
    </i>
    <i>
      <x v="66"/>
    </i>
    <i t="grand">
      <x/>
    </i>
  </rowItems>
  <colFields count="1">
    <field x="-2"/>
  </colFields>
  <colItems count="2">
    <i>
      <x/>
    </i>
    <i i="1">
      <x v="1"/>
    </i>
  </colItems>
  <dataFields count="2">
    <dataField name="Average of Cushion_Pct" fld="8" subtotal="average" baseField="11" baseItem="62" numFmtId="10"/>
    <dataField name="Average of Threshold" fld="11" subtotal="average" baseField="11" baseItem="15"/>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DE8325-D81F-4FD9-A04E-7E3CABE633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C25" firstHeaderRow="0" firstDataRow="1" firstDataCol="1"/>
  <pivotFields count="14">
    <pivotField axis="axisRow" numFmtId="16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umFmtId="2" showAll="0"/>
    <pivotField numFmtId="2" showAll="0"/>
    <pivotField numFmtId="2" showAll="0"/>
    <pivotField numFmtId="2" showAll="0"/>
    <pivotField showAll="0"/>
    <pivotField showAll="0"/>
    <pivotField showAll="0"/>
    <pivotField numFmtId="10" showAll="0"/>
    <pivotField dataField="1" showAll="0"/>
    <pivotField dataField="1" showAll="0"/>
    <pivotField showAll="0"/>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s>
  <rowFields count="3">
    <field x="13"/>
    <field x="12"/>
    <field x="0"/>
  </rowFields>
  <rowItems count="6">
    <i>
      <x v="62"/>
    </i>
    <i>
      <x v="63"/>
    </i>
    <i>
      <x v="64"/>
    </i>
    <i>
      <x v="65"/>
    </i>
    <i>
      <x v="66"/>
    </i>
    <i t="grand">
      <x/>
    </i>
  </rowItems>
  <colFields count="1">
    <field x="-2"/>
  </colFields>
  <colItems count="2">
    <i>
      <x/>
    </i>
    <i i="1">
      <x v="1"/>
    </i>
  </colItems>
  <dataFields count="2">
    <dataField name="Average of Hourly Volatility" fld="9" subtotal="average" baseField="13" baseItem="62" numFmtId="2"/>
    <dataField name="Average of Avg. Volatlity" fld="10" subtotal="average" baseField="13" baseItem="62"/>
  </dataFields>
  <formats count="1">
    <format dxfId="17">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29B370-EE50-4748-B53F-99098CFFE38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2">
    <pivotField numFmtId="164"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umFmtId="2" showAll="0"/>
    <pivotField numFmtId="2" showAll="0"/>
    <pivotField numFmtId="2" showAll="0"/>
    <pivotField numFmtId="2" showAll="0"/>
    <pivotField showAll="0"/>
    <pivotField showAll="0"/>
    <pivotField axis="axisRow" dataField="1" showAll="0">
      <items count="5">
        <item x="2"/>
        <item h="1" x="0"/>
        <item x="3"/>
        <item x="1"/>
        <item t="default"/>
      </items>
    </pivotField>
    <pivotField showAll="0"/>
    <pivotField axis="axisCol"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2"/>
    </i>
    <i>
      <x v="3"/>
    </i>
    <i t="grand">
      <x/>
    </i>
  </rowItems>
  <colFields count="1">
    <field x="9"/>
  </colFields>
  <colItems count="3">
    <i>
      <x/>
    </i>
    <i>
      <x v="1"/>
    </i>
    <i t="grand">
      <x/>
    </i>
  </colItems>
  <dataFields count="1">
    <dataField name="Count of Risk_Status" fld="7" subtotal="count" showDataAs="percentOfCol" baseField="7" baseItem="0" numFmtId="1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 xr10:uid="{F053B671-D80F-40F5-969A-0DB1C3076E84}" sourceName="View">
  <pivotTables>
    <pivotTable tabId="10" name="PivotTable11"/>
  </pivotTables>
  <data>
    <tabular pivotCacheId="184383519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ew" xr10:uid="{7902E7E9-6D02-4150-BC27-0592C7EA3A96}" cache="Slicer_View" caption="View"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ew 1" xr10:uid="{CEE68219-015C-47A0-AE84-E6E3F0217744}" cache="Slicer_View" caption="View"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F0E1AD-1EFD-4BD9-82A0-57B0E2486631}" name="Table2" displayName="Table2" ref="A1:I134" totalsRowShown="0">
  <autoFilter ref="A1:I134" xr:uid="{C8F0E1AD-1EFD-4BD9-82A0-57B0E2486631}"/>
  <tableColumns count="9">
    <tableColumn id="1" xr3:uid="{A349B909-585E-4AF6-AC8B-BC50A2BC7047}" name="Datetime" dataDxfId="31"/>
    <tableColumn id="2" xr3:uid="{63D311BF-F5EC-4A60-89D9-36CA852266E6}" name="Close" dataDxfId="30"/>
    <tableColumn id="3" xr3:uid="{3E270A58-05DE-487C-BCC1-6B9A29849420}" name="High" dataDxfId="29"/>
    <tableColumn id="4" xr3:uid="{86B3E94D-F814-4197-A983-BFAD9ECD1FCF}" name="Low" dataDxfId="28"/>
    <tableColumn id="5" xr3:uid="{A364FE1A-5E55-4A45-A634-946C8326E056}" name="Open" dataDxfId="27"/>
    <tableColumn id="6" xr3:uid="{8CFBB407-2F21-4F20-A099-93A68FADE960}" name="Volume"/>
    <tableColumn id="7" xr3:uid="{5E9D4B72-A320-499F-85D6-E985886D0501}" name="Normal_Price"/>
    <tableColumn id="8" xr3:uid="{204B70D7-275F-43CE-A776-C48312A1CB15}" name="Risk_Status"/>
    <tableColumn id="9" xr3:uid="{9DDA57AB-20F5-43BB-9EF4-ADB9AF623511}" name="Cushion_Pct"/>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4BD21-4C51-4238-97F7-D66094D6D518}" name="Table1" displayName="Table1" ref="A1:L36" totalsRowShown="0">
  <autoFilter ref="A1:L36" xr:uid="{BF24BD21-4C51-4238-97F7-D66094D6D518}"/>
  <tableColumns count="12">
    <tableColumn id="1" xr3:uid="{13500238-FE65-48F5-A76A-2E67938E67AB}" name="Datetime" dataDxfId="26"/>
    <tableColumn id="2" xr3:uid="{663DE23D-625A-4D33-9575-517D990C9945}" name="Close" dataDxfId="25"/>
    <tableColumn id="3" xr3:uid="{117D1E05-C696-4648-B3B0-3849C443F761}" name="High" dataDxfId="24"/>
    <tableColumn id="4" xr3:uid="{4D6F1DFC-80F3-4CA9-8FE5-C9826319D209}" name="Low" dataDxfId="23"/>
    <tableColumn id="5" xr3:uid="{916D3D18-CA93-4E59-9458-35A2C0EA6C3C}" name="Open" dataDxfId="22"/>
    <tableColumn id="6" xr3:uid="{224EF3C1-BBCE-4E3D-BD3B-2B1337AECBBA}" name="Volume"/>
    <tableColumn id="7" xr3:uid="{E8DD2038-3022-4C3C-984C-5508BFBB3272}" name="Normal_Price" dataDxfId="21"/>
    <tableColumn id="8" xr3:uid="{02D6AE08-D4EF-45DA-B300-2F5F37446361}" name="Risk_Status"/>
    <tableColumn id="9" xr3:uid="{626AA6CE-CC4E-424C-9466-47229170F26B}" name="Cushion_Pct" dataDxfId="20" dataCellStyle="Percent"/>
    <tableColumn id="11" xr3:uid="{D67E4047-D432-4657-800E-087C265E38C9}" name="Threshold" dataDxfId="19" dataCellStyle="Percent"/>
    <tableColumn id="10" xr3:uid="{55955797-7A62-455D-8F7C-542206857522}" name="Hourly Volatility"/>
    <tableColumn id="13" xr3:uid="{BD7C8A99-EA2A-4653-BCA0-96E6BE633F7A}" name="Avg. Volatlity" dataDxfId="1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728103-163C-469C-A84C-895215206F1B}" name="Table26" displayName="Table26" ref="A1:J169" totalsRowShown="0">
  <autoFilter ref="A1:J169" xr:uid="{26728103-163C-469C-A84C-895215206F1B}"/>
  <tableColumns count="10">
    <tableColumn id="1" xr3:uid="{CBB28481-D462-40DE-80C4-41E929DE92D8}" name="Datetime" dataDxfId="16"/>
    <tableColumn id="2" xr3:uid="{418B1BB2-4935-4760-A79C-0D7E1D7F1047}" name="Close" dataDxfId="15"/>
    <tableColumn id="3" xr3:uid="{E91DE48A-1E94-4D4C-B153-21E900D03C48}" name="High" dataDxfId="14"/>
    <tableColumn id="4" xr3:uid="{8FC9B2D6-A4A9-4976-AE8A-08866CF76BB7}" name="Low" dataDxfId="13"/>
    <tableColumn id="5" xr3:uid="{C9EBC0CA-1D74-4BC0-9147-602AC0AD5046}" name="Open" dataDxfId="12"/>
    <tableColumn id="6" xr3:uid="{8DFBC0C5-F2FB-4A01-9D08-9643E3E8417D}" name="Volume"/>
    <tableColumn id="7" xr3:uid="{868362FB-3447-4253-A2D8-F3496C8285B1}" name="Normal_Price"/>
    <tableColumn id="8" xr3:uid="{FD489D64-E176-4377-8075-C0CDD99DFAD9}" name="Risk_Status"/>
    <tableColumn id="9" xr3:uid="{ED5FF484-7F2C-4F17-82C5-6A3CD70D7B8B}" name="Cushion_Pct"/>
    <tableColumn id="10" xr3:uid="{43C4FEB9-67F8-4B35-976E-C06832C3D3AC}" name="View"/>
  </tableColumns>
  <tableStyleInfo name="TableStyleLight1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4"/>
  <sheetViews>
    <sheetView topLeftCell="A115" workbookViewId="0">
      <selection sqref="A1:I134"/>
    </sheetView>
  </sheetViews>
  <sheetFormatPr defaultRowHeight="13.5" x14ac:dyDescent="0.25"/>
  <cols>
    <col min="1" max="1" width="20.9140625" customWidth="1"/>
    <col min="2" max="2" width="13.58203125" customWidth="1"/>
    <col min="3" max="3" width="13.6640625" customWidth="1"/>
    <col min="4" max="4" width="13.83203125" customWidth="1"/>
    <col min="5" max="5" width="13.75" customWidth="1"/>
    <col min="6" max="6" width="11.75" customWidth="1"/>
    <col min="7" max="7" width="14" customWidth="1"/>
    <col min="8" max="8" width="13.58203125" customWidth="1"/>
    <col min="9" max="9" width="14.1640625" customWidth="1"/>
  </cols>
  <sheetData>
    <row r="1" spans="1:9" x14ac:dyDescent="0.25">
      <c r="A1" t="s">
        <v>0</v>
      </c>
      <c r="B1" t="s">
        <v>1</v>
      </c>
      <c r="C1" t="s">
        <v>2</v>
      </c>
      <c r="D1" t="s">
        <v>3</v>
      </c>
      <c r="E1" t="s">
        <v>4</v>
      </c>
      <c r="F1" t="s">
        <v>5</v>
      </c>
      <c r="G1" t="s">
        <v>6</v>
      </c>
      <c r="H1" t="s">
        <v>7</v>
      </c>
      <c r="I1" t="s">
        <v>8</v>
      </c>
    </row>
    <row r="2" spans="1:9" x14ac:dyDescent="0.25">
      <c r="A2" s="1">
        <v>46062.604166666657</v>
      </c>
      <c r="B2" s="7">
        <v>412.96499633789063</v>
      </c>
      <c r="C2" s="7">
        <v>415.32998657226563</v>
      </c>
      <c r="D2" s="7">
        <v>407.29000854492188</v>
      </c>
      <c r="E2" s="7">
        <v>409.90499877929688</v>
      </c>
      <c r="F2">
        <v>10662546</v>
      </c>
      <c r="H2" t="s">
        <v>9</v>
      </c>
      <c r="I2">
        <v>0</v>
      </c>
    </row>
    <row r="3" spans="1:9" x14ac:dyDescent="0.25">
      <c r="A3" s="1">
        <v>46062.645833333343</v>
      </c>
      <c r="B3" s="7">
        <v>418.66500854492188</v>
      </c>
      <c r="C3" s="7">
        <v>419.42999267578119</v>
      </c>
      <c r="D3" s="7">
        <v>412.70001220703119</v>
      </c>
      <c r="E3" s="7">
        <v>412.96499633789063</v>
      </c>
      <c r="F3">
        <v>6843367</v>
      </c>
      <c r="H3" t="s">
        <v>9</v>
      </c>
      <c r="I3">
        <v>0</v>
      </c>
    </row>
    <row r="4" spans="1:9" x14ac:dyDescent="0.25">
      <c r="A4" s="1">
        <v>46062.6875</v>
      </c>
      <c r="B4" s="7">
        <v>420.52999877929688</v>
      </c>
      <c r="C4" s="7">
        <v>421.25</v>
      </c>
      <c r="D4" s="7">
        <v>417.97000122070313</v>
      </c>
      <c r="E4" s="7">
        <v>418.6199951171875</v>
      </c>
      <c r="F4">
        <v>5284227</v>
      </c>
      <c r="H4" t="s">
        <v>9</v>
      </c>
      <c r="I4">
        <v>0</v>
      </c>
    </row>
    <row r="5" spans="1:9" x14ac:dyDescent="0.25">
      <c r="A5" s="1">
        <v>46062.729166666657</v>
      </c>
      <c r="B5" s="7">
        <v>418.34991455078119</v>
      </c>
      <c r="C5" s="7">
        <v>421.20989990234381</v>
      </c>
      <c r="D5" s="7">
        <v>417.70001220703119</v>
      </c>
      <c r="E5" s="7">
        <v>420.54998779296881</v>
      </c>
      <c r="F5">
        <v>3548082</v>
      </c>
      <c r="H5" t="s">
        <v>9</v>
      </c>
      <c r="I5">
        <v>0</v>
      </c>
    </row>
    <row r="6" spans="1:9" x14ac:dyDescent="0.25">
      <c r="A6" s="1">
        <v>46062.770833333343</v>
      </c>
      <c r="B6" s="7">
        <v>420.16970825195313</v>
      </c>
      <c r="C6" s="7">
        <v>420.66000366210938</v>
      </c>
      <c r="D6" s="7">
        <v>417.70999145507813</v>
      </c>
      <c r="E6" s="7">
        <v>418.30230712890619</v>
      </c>
      <c r="F6">
        <v>3393895</v>
      </c>
      <c r="G6" s="7">
        <v>418.13592529296881</v>
      </c>
      <c r="H6" t="s">
        <v>10</v>
      </c>
      <c r="I6" s="13">
        <v>2.5371354916928691E-2</v>
      </c>
    </row>
    <row r="7" spans="1:9" x14ac:dyDescent="0.25">
      <c r="A7" s="1">
        <v>46062.8125</v>
      </c>
      <c r="B7" s="7">
        <v>420.1199951171875</v>
      </c>
      <c r="C7" s="7">
        <v>420.89999389648438</v>
      </c>
      <c r="D7" s="7">
        <v>419.40701293945313</v>
      </c>
      <c r="E7" s="7">
        <v>420.19000244140619</v>
      </c>
      <c r="F7">
        <v>3389590</v>
      </c>
      <c r="G7" s="7">
        <v>419.56692504882813</v>
      </c>
      <c r="H7" t="s">
        <v>10</v>
      </c>
      <c r="I7" s="13">
        <v>2.1753257882919159E-2</v>
      </c>
    </row>
    <row r="8" spans="1:9" x14ac:dyDescent="0.25">
      <c r="A8" s="1">
        <v>46062.854166666657</v>
      </c>
      <c r="B8" s="7">
        <v>417.16000366210938</v>
      </c>
      <c r="C8" s="7">
        <v>420.42001342773438</v>
      </c>
      <c r="D8" s="7">
        <v>417.13009643554688</v>
      </c>
      <c r="E8" s="7">
        <v>420.07998657226563</v>
      </c>
      <c r="F8">
        <v>3183939</v>
      </c>
      <c r="G8" s="7">
        <v>419.26592407226559</v>
      </c>
      <c r="H8" t="s">
        <v>11</v>
      </c>
      <c r="I8" s="13">
        <v>1.528278041320465E-2</v>
      </c>
    </row>
    <row r="9" spans="1:9" x14ac:dyDescent="0.25">
      <c r="A9" s="1">
        <v>46063.604166666657</v>
      </c>
      <c r="B9" s="7">
        <v>423.34161376953119</v>
      </c>
      <c r="C9" s="7">
        <v>425.45999145507813</v>
      </c>
      <c r="D9" s="7">
        <v>417</v>
      </c>
      <c r="E9" s="7">
        <v>418.08999633789063</v>
      </c>
      <c r="F9">
        <v>10943175</v>
      </c>
      <c r="G9" s="7">
        <v>419.8282470703125</v>
      </c>
      <c r="H9" t="s">
        <v>10</v>
      </c>
      <c r="I9" s="13">
        <v>2.8947531650937618E-2</v>
      </c>
    </row>
    <row r="10" spans="1:9" x14ac:dyDescent="0.25">
      <c r="A10" s="1">
        <v>46063.645833333343</v>
      </c>
      <c r="B10" s="7">
        <v>421.7349853515625</v>
      </c>
      <c r="C10" s="7">
        <v>425.42001342773438</v>
      </c>
      <c r="D10" s="7">
        <v>420.71270751953119</v>
      </c>
      <c r="E10" s="7">
        <v>423.33999633789063</v>
      </c>
      <c r="F10">
        <v>6615508</v>
      </c>
      <c r="G10" s="7">
        <v>420.50526123046882</v>
      </c>
      <c r="H10" t="s">
        <v>10</v>
      </c>
      <c r="I10" s="13">
        <v>2.3392241343322271E-2</v>
      </c>
    </row>
    <row r="11" spans="1:9" x14ac:dyDescent="0.25">
      <c r="A11" s="1">
        <v>46063.6875</v>
      </c>
      <c r="B11" s="7">
        <v>424.93499755859381</v>
      </c>
      <c r="C11" s="7">
        <v>427.25</v>
      </c>
      <c r="D11" s="7">
        <v>421.05999755859381</v>
      </c>
      <c r="E11" s="7">
        <v>421.70999145507813</v>
      </c>
      <c r="F11">
        <v>6045525</v>
      </c>
      <c r="G11" s="7">
        <v>421.45831909179691</v>
      </c>
      <c r="H11" t="s">
        <v>10</v>
      </c>
      <c r="I11" s="13">
        <v>2.882567676038458E-2</v>
      </c>
    </row>
    <row r="12" spans="1:9" x14ac:dyDescent="0.25">
      <c r="A12" s="1">
        <v>46063.729166666657</v>
      </c>
      <c r="B12" s="7">
        <v>423.32000732421881</v>
      </c>
      <c r="C12" s="7">
        <v>426.114990234375</v>
      </c>
      <c r="D12" s="7">
        <v>423.14999389648438</v>
      </c>
      <c r="E12" s="7">
        <v>424.8800048828125</v>
      </c>
      <c r="F12">
        <v>4257452</v>
      </c>
      <c r="G12" s="7">
        <v>422.09832153320309</v>
      </c>
      <c r="H12" t="s">
        <v>10</v>
      </c>
      <c r="I12" s="13">
        <v>2.3361546613454569E-2</v>
      </c>
    </row>
    <row r="13" spans="1:9" x14ac:dyDescent="0.25">
      <c r="A13" s="1">
        <v>46063.770833333343</v>
      </c>
      <c r="B13" s="7">
        <v>425.03988647460938</v>
      </c>
      <c r="C13" s="7">
        <v>425.10000610351563</v>
      </c>
      <c r="D13" s="7">
        <v>422.35009765625</v>
      </c>
      <c r="E13" s="7">
        <v>423.29000854492188</v>
      </c>
      <c r="F13">
        <v>3627992</v>
      </c>
      <c r="G13" s="7">
        <v>423.67429809570308</v>
      </c>
      <c r="H13" t="s">
        <v>10</v>
      </c>
      <c r="I13" s="13">
        <v>2.3697146183928739E-2</v>
      </c>
    </row>
    <row r="14" spans="1:9" x14ac:dyDescent="0.25">
      <c r="A14" s="1">
        <v>46063.8125</v>
      </c>
      <c r="B14" s="7">
        <v>424.45001220703119</v>
      </c>
      <c r="C14" s="7">
        <v>426.3699951171875</v>
      </c>
      <c r="D14" s="7">
        <v>423.66000366210938</v>
      </c>
      <c r="E14" s="7">
        <v>425.05999755859381</v>
      </c>
      <c r="F14">
        <v>3877717</v>
      </c>
      <c r="G14" s="7">
        <v>423.89597778320308</v>
      </c>
      <c r="H14" t="s">
        <v>10</v>
      </c>
      <c r="I14" s="13">
        <v>2.1741842465945641E-2</v>
      </c>
    </row>
    <row r="15" spans="1:9" x14ac:dyDescent="0.25">
      <c r="A15" s="1">
        <v>46063.854166666657</v>
      </c>
      <c r="B15" s="7">
        <v>425.22000122070313</v>
      </c>
      <c r="C15" s="7">
        <v>427.20001220703119</v>
      </c>
      <c r="D15" s="7">
        <v>423.81698608398438</v>
      </c>
      <c r="E15" s="7">
        <v>424.41000366210938</v>
      </c>
      <c r="F15">
        <v>4465243</v>
      </c>
      <c r="G15" s="7">
        <v>424.59298095703127</v>
      </c>
      <c r="H15" t="s">
        <v>10</v>
      </c>
      <c r="I15" s="13">
        <v>2.1915057218525529E-2</v>
      </c>
    </row>
    <row r="16" spans="1:9" x14ac:dyDescent="0.25">
      <c r="A16" s="1">
        <v>46064.604166666657</v>
      </c>
      <c r="B16" s="7">
        <v>421.72000122070313</v>
      </c>
      <c r="C16" s="7">
        <v>436.35000610351563</v>
      </c>
      <c r="D16" s="7">
        <v>421.54998779296881</v>
      </c>
      <c r="E16" s="7">
        <v>427.95498657226563</v>
      </c>
      <c r="F16">
        <v>14480611</v>
      </c>
      <c r="G16" s="7">
        <v>423.94998168945313</v>
      </c>
      <c r="H16" t="s">
        <v>11</v>
      </c>
      <c r="I16" s="13">
        <v>1.504080774575446E-2</v>
      </c>
    </row>
    <row r="17" spans="1:9" x14ac:dyDescent="0.25">
      <c r="A17" s="1">
        <v>46064.645833333343</v>
      </c>
      <c r="B17" s="7">
        <v>426.40499877929688</v>
      </c>
      <c r="C17" s="7">
        <v>427.06939697265619</v>
      </c>
      <c r="D17" s="7">
        <v>420.02999877929688</v>
      </c>
      <c r="E17" s="7">
        <v>421.68231201171881</v>
      </c>
      <c r="F17">
        <v>7864759</v>
      </c>
      <c r="G17" s="7">
        <v>424.56697998046877</v>
      </c>
      <c r="H17" t="s">
        <v>10</v>
      </c>
      <c r="I17" s="13">
        <v>2.482567445905361E-2</v>
      </c>
    </row>
    <row r="18" spans="1:9" x14ac:dyDescent="0.25">
      <c r="A18" s="1">
        <v>46064.6875</v>
      </c>
      <c r="B18" s="7">
        <v>424.7598876953125</v>
      </c>
      <c r="C18" s="7">
        <v>426.67001342773438</v>
      </c>
      <c r="D18" s="7">
        <v>422.05999755859381</v>
      </c>
      <c r="E18" s="7">
        <v>426.41000366210938</v>
      </c>
      <c r="F18">
        <v>5055253</v>
      </c>
      <c r="G18" s="7">
        <v>424.5109802246094</v>
      </c>
      <c r="H18" t="s">
        <v>10</v>
      </c>
      <c r="I18" s="13">
        <v>2.1006468672786521E-2</v>
      </c>
    </row>
    <row r="19" spans="1:9" x14ac:dyDescent="0.25">
      <c r="A19" s="1">
        <v>46064.729166666657</v>
      </c>
      <c r="B19" s="7">
        <v>424.7449951171875</v>
      </c>
      <c r="C19" s="7">
        <v>426.17999267578119</v>
      </c>
      <c r="D19" s="7">
        <v>422.1199951171875</v>
      </c>
      <c r="E19" s="7">
        <v>424.760009765625</v>
      </c>
      <c r="F19">
        <v>4016085</v>
      </c>
      <c r="G19" s="7">
        <v>424.56997680664063</v>
      </c>
      <c r="H19" t="s">
        <v>10</v>
      </c>
      <c r="I19" s="13">
        <v>2.0828800904703449E-2</v>
      </c>
    </row>
    <row r="20" spans="1:9" x14ac:dyDescent="0.25">
      <c r="A20" s="1">
        <v>46064.770833333343</v>
      </c>
      <c r="B20" s="7">
        <v>427.55999755859381</v>
      </c>
      <c r="C20" s="7">
        <v>427.73001098632813</v>
      </c>
      <c r="D20" s="7">
        <v>423.6199951171875</v>
      </c>
      <c r="E20" s="7">
        <v>424.72000122070313</v>
      </c>
      <c r="F20">
        <v>3807995</v>
      </c>
      <c r="G20" s="7">
        <v>425.03797607421882</v>
      </c>
      <c r="H20" t="s">
        <v>10</v>
      </c>
      <c r="I20" s="13">
        <v>2.6462895913800941E-2</v>
      </c>
    </row>
    <row r="21" spans="1:9" x14ac:dyDescent="0.25">
      <c r="A21" s="1">
        <v>46064.8125</v>
      </c>
      <c r="B21" s="7">
        <v>425.8599853515625</v>
      </c>
      <c r="C21" s="7">
        <v>427.64990234375</v>
      </c>
      <c r="D21" s="7">
        <v>425.6400146484375</v>
      </c>
      <c r="E21" s="7">
        <v>427.51998901367188</v>
      </c>
      <c r="F21">
        <v>3215486</v>
      </c>
      <c r="G21" s="7">
        <v>425.8659729003906</v>
      </c>
      <c r="H21" t="s">
        <v>10</v>
      </c>
      <c r="I21" s="13">
        <v>2.039381663023564E-2</v>
      </c>
    </row>
    <row r="22" spans="1:9" x14ac:dyDescent="0.25">
      <c r="A22" s="1">
        <v>46064.854166666657</v>
      </c>
      <c r="B22" s="7">
        <v>428.14999389648438</v>
      </c>
      <c r="C22" s="7">
        <v>429.10000610351563</v>
      </c>
      <c r="D22" s="7">
        <v>425.45999145507813</v>
      </c>
      <c r="E22" s="7">
        <v>425.82000732421881</v>
      </c>
      <c r="F22">
        <v>3100922</v>
      </c>
      <c r="G22" s="7">
        <v>426.2149719238281</v>
      </c>
      <c r="H22" t="s">
        <v>10</v>
      </c>
      <c r="I22" s="13">
        <v>2.5040830691520109E-2</v>
      </c>
    </row>
    <row r="23" spans="1:9" x14ac:dyDescent="0.25">
      <c r="A23" s="1">
        <v>46065.604166666657</v>
      </c>
      <c r="B23" s="7">
        <v>429.67001342773438</v>
      </c>
      <c r="C23" s="7">
        <v>436.23001098632813</v>
      </c>
      <c r="D23" s="7">
        <v>426.1300048828125</v>
      </c>
      <c r="E23" s="7">
        <v>430.35000610351563</v>
      </c>
      <c r="F23">
        <v>11620453</v>
      </c>
      <c r="G23" s="7">
        <v>427.19699707031248</v>
      </c>
      <c r="H23" t="s">
        <v>10</v>
      </c>
      <c r="I23" s="13">
        <v>2.6315241489890711E-2</v>
      </c>
    </row>
    <row r="24" spans="1:9" x14ac:dyDescent="0.25">
      <c r="A24" s="1">
        <v>46065.645833333343</v>
      </c>
      <c r="B24" s="7">
        <v>419.41000366210938</v>
      </c>
      <c r="C24" s="7">
        <v>430.489990234375</v>
      </c>
      <c r="D24" s="7">
        <v>419.27999877929688</v>
      </c>
      <c r="E24" s="7">
        <v>429.77999877929688</v>
      </c>
      <c r="F24">
        <v>7175428</v>
      </c>
      <c r="G24" s="7">
        <v>426.1299987792969</v>
      </c>
      <c r="H24" t="s">
        <v>11</v>
      </c>
      <c r="I24" s="13">
        <v>4.3165060378772008E-3</v>
      </c>
    </row>
    <row r="25" spans="1:9" x14ac:dyDescent="0.25">
      <c r="A25" s="1">
        <v>46065.6875</v>
      </c>
      <c r="B25" s="7">
        <v>418.10980224609381</v>
      </c>
      <c r="C25" s="7">
        <v>421.409912109375</v>
      </c>
      <c r="D25" s="7">
        <v>417.1199951171875</v>
      </c>
      <c r="E25" s="7">
        <v>419.40499877929688</v>
      </c>
      <c r="F25">
        <v>6221291</v>
      </c>
      <c r="G25" s="7">
        <v>424.23995971679688</v>
      </c>
      <c r="H25" t="s">
        <v>11</v>
      </c>
      <c r="I25" s="13">
        <v>5.6635297579321706E-3</v>
      </c>
    </row>
    <row r="26" spans="1:9" x14ac:dyDescent="0.25">
      <c r="A26" s="1">
        <v>46065.729166666657</v>
      </c>
      <c r="B26" s="7">
        <v>416.79000854492188</v>
      </c>
      <c r="C26" s="7">
        <v>420.10000610351563</v>
      </c>
      <c r="D26" s="7">
        <v>414</v>
      </c>
      <c r="E26" s="7">
        <v>418.06500244140619</v>
      </c>
      <c r="F26">
        <v>4974259</v>
      </c>
      <c r="G26" s="7">
        <v>422.42596435546881</v>
      </c>
      <c r="H26" t="s">
        <v>11</v>
      </c>
      <c r="I26" s="13">
        <v>6.7940017265869851E-3</v>
      </c>
    </row>
    <row r="27" spans="1:9" x14ac:dyDescent="0.25">
      <c r="A27" s="1">
        <v>46065.770833333343</v>
      </c>
      <c r="B27" s="7">
        <v>414.66250610351563</v>
      </c>
      <c r="C27" s="7">
        <v>417.8699951171875</v>
      </c>
      <c r="D27" s="7">
        <v>414.25009155273438</v>
      </c>
      <c r="E27" s="7">
        <v>416.79998779296881</v>
      </c>
      <c r="F27">
        <v>3857610</v>
      </c>
      <c r="G27" s="7">
        <v>419.72846679687501</v>
      </c>
      <c r="H27" t="s">
        <v>11</v>
      </c>
      <c r="I27" s="13">
        <v>8.0922303343458485E-3</v>
      </c>
    </row>
    <row r="28" spans="1:9" x14ac:dyDescent="0.25">
      <c r="A28" s="1">
        <v>46065.8125</v>
      </c>
      <c r="B28" s="7">
        <v>414.80279541015619</v>
      </c>
      <c r="C28" s="7">
        <v>416.85000610351563</v>
      </c>
      <c r="D28" s="7">
        <v>414.54000854492188</v>
      </c>
      <c r="E28" s="7">
        <v>414.6300048828125</v>
      </c>
      <c r="F28">
        <v>3571749</v>
      </c>
      <c r="G28" s="7">
        <v>416.75502319335942</v>
      </c>
      <c r="H28" t="s">
        <v>11</v>
      </c>
      <c r="I28" s="13">
        <v>1.5628210881601989E-2</v>
      </c>
    </row>
    <row r="29" spans="1:9" x14ac:dyDescent="0.25">
      <c r="A29" s="1">
        <v>46065.854166666657</v>
      </c>
      <c r="B29" s="7">
        <v>416.83999633789063</v>
      </c>
      <c r="C29" s="7">
        <v>417.42001342773438</v>
      </c>
      <c r="D29" s="7">
        <v>414.54998779296881</v>
      </c>
      <c r="E29" s="7">
        <v>414.70999145507813</v>
      </c>
      <c r="F29">
        <v>3513182</v>
      </c>
      <c r="G29" s="7">
        <v>416.24102172851559</v>
      </c>
      <c r="H29" t="s">
        <v>10</v>
      </c>
      <c r="I29" s="13">
        <v>2.1876539876666441E-2</v>
      </c>
    </row>
    <row r="30" spans="1:9" x14ac:dyDescent="0.25">
      <c r="A30" s="1">
        <v>46066.604166666657</v>
      </c>
      <c r="B30" s="7">
        <v>416.10501098632813</v>
      </c>
      <c r="C30" s="7">
        <v>417.70001220703119</v>
      </c>
      <c r="D30" s="7">
        <v>410.8800048828125</v>
      </c>
      <c r="E30" s="7">
        <v>414.1400146484375</v>
      </c>
      <c r="F30">
        <v>9931507</v>
      </c>
      <c r="G30" s="7">
        <v>415.84006347656248</v>
      </c>
      <c r="H30" t="s">
        <v>10</v>
      </c>
      <c r="I30" s="13">
        <v>2.1058304089981439E-2</v>
      </c>
    </row>
    <row r="31" spans="1:9" x14ac:dyDescent="0.25">
      <c r="A31" s="1">
        <v>46066.645833333343</v>
      </c>
      <c r="B31" s="7">
        <v>417.92999267578119</v>
      </c>
      <c r="C31" s="7">
        <v>418.3699951171875</v>
      </c>
      <c r="D31" s="7">
        <v>412.3800048828125</v>
      </c>
      <c r="E31" s="7">
        <v>416.10501098632813</v>
      </c>
      <c r="F31">
        <v>6179923</v>
      </c>
      <c r="G31" s="7">
        <v>416.06806030273441</v>
      </c>
      <c r="H31" t="s">
        <v>10</v>
      </c>
      <c r="I31" s="13">
        <v>2.497455798333037E-2</v>
      </c>
    </row>
    <row r="32" spans="1:9" x14ac:dyDescent="0.25">
      <c r="A32" s="1">
        <v>46066.6875</v>
      </c>
      <c r="B32" s="7">
        <v>420.42001342773438</v>
      </c>
      <c r="C32" s="7">
        <v>420.94000244140619</v>
      </c>
      <c r="D32" s="7">
        <v>416.44680786132813</v>
      </c>
      <c r="E32" s="7">
        <v>417.91500854492188</v>
      </c>
      <c r="F32">
        <v>4750659</v>
      </c>
      <c r="G32" s="7">
        <v>417.21956176757811</v>
      </c>
      <c r="H32" t="s">
        <v>10</v>
      </c>
      <c r="I32" s="13">
        <v>2.8235617439132051E-2</v>
      </c>
    </row>
    <row r="33" spans="1:9" x14ac:dyDescent="0.25">
      <c r="A33" s="1">
        <v>46066.729166666657</v>
      </c>
      <c r="B33" s="7">
        <v>420.57980346679688</v>
      </c>
      <c r="C33" s="7">
        <v>421.32998657226563</v>
      </c>
      <c r="D33" s="7">
        <v>418.80999755859381</v>
      </c>
      <c r="E33" s="7">
        <v>420.48001098632813</v>
      </c>
      <c r="F33">
        <v>3564757</v>
      </c>
      <c r="G33" s="7">
        <v>418.37496337890627</v>
      </c>
      <c r="H33" t="s">
        <v>10</v>
      </c>
      <c r="I33" s="13">
        <v>2.5785724116959129E-2</v>
      </c>
    </row>
    <row r="34" spans="1:9" x14ac:dyDescent="0.25">
      <c r="A34" s="1">
        <v>46066.770833333343</v>
      </c>
      <c r="B34" s="7">
        <v>420.51998901367188</v>
      </c>
      <c r="C34" s="7">
        <v>424.05999755859381</v>
      </c>
      <c r="D34" s="7">
        <v>420.29998779296881</v>
      </c>
      <c r="E34" s="7">
        <v>420.70001220703119</v>
      </c>
      <c r="F34">
        <v>4358821</v>
      </c>
      <c r="G34" s="7">
        <v>419.1109619140625</v>
      </c>
      <c r="H34" t="s">
        <v>10</v>
      </c>
      <c r="I34" s="13">
        <v>2.3838717188632699E-2</v>
      </c>
    </row>
    <row r="35" spans="1:9" x14ac:dyDescent="0.25">
      <c r="A35" s="1">
        <v>46066.8125</v>
      </c>
      <c r="B35" s="7">
        <v>417.6099853515625</v>
      </c>
      <c r="C35" s="7">
        <v>421.85989379882813</v>
      </c>
      <c r="D35" s="7">
        <v>417.20999145507813</v>
      </c>
      <c r="E35" s="7">
        <v>420.6300048828125</v>
      </c>
      <c r="F35">
        <v>3900214</v>
      </c>
      <c r="G35" s="7">
        <v>419.41195678710938</v>
      </c>
      <c r="H35" t="s">
        <v>11</v>
      </c>
      <c r="I35" s="13">
        <v>1.602405753573042E-2</v>
      </c>
    </row>
    <row r="36" spans="1:9" x14ac:dyDescent="0.25">
      <c r="A36" s="1">
        <v>46066.854166666657</v>
      </c>
      <c r="B36" s="7">
        <v>417.42001342773438</v>
      </c>
      <c r="C36" s="7">
        <v>418.58999633789063</v>
      </c>
      <c r="D36" s="7">
        <v>416.51998901367188</v>
      </c>
      <c r="E36" s="7">
        <v>417.56988525390619</v>
      </c>
      <c r="F36">
        <v>2855438</v>
      </c>
      <c r="G36" s="7">
        <v>419.30996093750002</v>
      </c>
      <c r="H36" t="s">
        <v>11</v>
      </c>
      <c r="I36" s="13">
        <v>1.5808897693851541E-2</v>
      </c>
    </row>
    <row r="37" spans="1:9" x14ac:dyDescent="0.25">
      <c r="A37" s="1">
        <v>46070.604166666657</v>
      </c>
      <c r="B37" s="7">
        <v>401.32501220703119</v>
      </c>
      <c r="C37" s="7">
        <v>413.69000244140619</v>
      </c>
      <c r="D37" s="7">
        <v>400.92999267578119</v>
      </c>
      <c r="E37" s="7">
        <v>412.40200805664063</v>
      </c>
      <c r="F37">
        <v>12373622</v>
      </c>
      <c r="G37" s="7">
        <v>415.4909606933594</v>
      </c>
      <c r="H37" t="s">
        <v>11</v>
      </c>
      <c r="I37" s="13">
        <v>-1.438212303050857E-2</v>
      </c>
    </row>
    <row r="38" spans="1:9" x14ac:dyDescent="0.25">
      <c r="A38" s="1">
        <v>46070.645833333343</v>
      </c>
      <c r="B38" s="7">
        <v>408.17498779296881</v>
      </c>
      <c r="C38" s="7">
        <v>409.6400146484375</v>
      </c>
      <c r="D38" s="7">
        <v>400.510009765625</v>
      </c>
      <c r="E38" s="7">
        <v>401.32510375976563</v>
      </c>
      <c r="F38">
        <v>7547922</v>
      </c>
      <c r="G38" s="7">
        <v>413.00999755859368</v>
      </c>
      <c r="H38" t="s">
        <v>11</v>
      </c>
      <c r="I38" s="13">
        <v>8.4624877042411718E-3</v>
      </c>
    </row>
    <row r="39" spans="1:9" x14ac:dyDescent="0.25">
      <c r="A39" s="1">
        <v>46070.6875</v>
      </c>
      <c r="B39" s="7">
        <v>406.6300048828125</v>
      </c>
      <c r="C39" s="7">
        <v>408.58999633789063</v>
      </c>
      <c r="D39" s="7">
        <v>404.82998657226563</v>
      </c>
      <c r="E39" s="7">
        <v>408.18499755859381</v>
      </c>
      <c r="F39">
        <v>5100846</v>
      </c>
      <c r="G39" s="7">
        <v>410.23200073242191</v>
      </c>
      <c r="H39" t="s">
        <v>11</v>
      </c>
      <c r="I39" s="13">
        <v>1.144858438694714E-2</v>
      </c>
    </row>
    <row r="40" spans="1:9" x14ac:dyDescent="0.25">
      <c r="A40" s="1">
        <v>46070.729166666657</v>
      </c>
      <c r="B40" s="7">
        <v>409.42001342773438</v>
      </c>
      <c r="C40" s="7">
        <v>410.30999755859381</v>
      </c>
      <c r="D40" s="7">
        <v>403.42001342773438</v>
      </c>
      <c r="E40" s="7">
        <v>406.635009765625</v>
      </c>
      <c r="F40">
        <v>5065104</v>
      </c>
      <c r="G40" s="7">
        <v>408.59400634765632</v>
      </c>
      <c r="H40" t="s">
        <v>10</v>
      </c>
      <c r="I40" s="13">
        <v>2.2471004017574701E-2</v>
      </c>
    </row>
    <row r="41" spans="1:9" x14ac:dyDescent="0.25">
      <c r="A41" s="1">
        <v>46070.770833333343</v>
      </c>
      <c r="B41" s="7">
        <v>411.39999389648438</v>
      </c>
      <c r="C41" s="7">
        <v>413.16989135742188</v>
      </c>
      <c r="D41" s="7">
        <v>408.79010009765619</v>
      </c>
      <c r="E41" s="7">
        <v>409.43798828125</v>
      </c>
      <c r="F41">
        <v>5014738</v>
      </c>
      <c r="G41" s="7">
        <v>407.39000244140618</v>
      </c>
      <c r="H41" t="s">
        <v>12</v>
      </c>
      <c r="I41" s="13">
        <v>3.045217021408823E-2</v>
      </c>
    </row>
    <row r="42" spans="1:9" x14ac:dyDescent="0.25">
      <c r="A42" s="1">
        <v>46070.8125</v>
      </c>
      <c r="B42" s="7">
        <v>410.55990600585938</v>
      </c>
      <c r="C42" s="7">
        <v>412.83099365234381</v>
      </c>
      <c r="D42" s="7">
        <v>409.71139526367188</v>
      </c>
      <c r="E42" s="7">
        <v>411.42001342773438</v>
      </c>
      <c r="F42">
        <v>3604573</v>
      </c>
      <c r="G42" s="7">
        <v>409.23698120117189</v>
      </c>
      <c r="H42" t="s">
        <v>10</v>
      </c>
      <c r="I42" s="13">
        <v>2.370679787581239E-2</v>
      </c>
    </row>
    <row r="43" spans="1:9" x14ac:dyDescent="0.25">
      <c r="A43" s="1">
        <v>46070.854166666657</v>
      </c>
      <c r="B43" s="7">
        <v>410.58999633789063</v>
      </c>
      <c r="C43" s="7">
        <v>411.8800048828125</v>
      </c>
      <c r="D43" s="7">
        <v>409.6400146484375</v>
      </c>
      <c r="E43" s="7">
        <v>410.47000122070313</v>
      </c>
      <c r="F43">
        <v>2992308</v>
      </c>
      <c r="G43" s="7">
        <v>409.71998291015632</v>
      </c>
      <c r="H43" t="s">
        <v>10</v>
      </c>
      <c r="I43" s="13">
        <v>2.2574932866107431E-2</v>
      </c>
    </row>
    <row r="44" spans="1:9" x14ac:dyDescent="0.25">
      <c r="A44" s="1">
        <v>46071.604166666657</v>
      </c>
      <c r="B44" s="7">
        <v>413.26998901367188</v>
      </c>
      <c r="C44" s="7">
        <v>415.67001342773438</v>
      </c>
      <c r="D44" s="7">
        <v>409.57998657226563</v>
      </c>
      <c r="E44" s="7">
        <v>410.67001342773438</v>
      </c>
      <c r="F44">
        <v>9006050</v>
      </c>
      <c r="G44" s="7">
        <v>411.0479797363281</v>
      </c>
      <c r="H44" t="s">
        <v>10</v>
      </c>
      <c r="I44" s="13">
        <v>2.592420158012107E-2</v>
      </c>
    </row>
    <row r="45" spans="1:9" x14ac:dyDescent="0.25">
      <c r="A45" s="1">
        <v>46071.645833333343</v>
      </c>
      <c r="B45" s="7">
        <v>414.3800048828125</v>
      </c>
      <c r="C45" s="7">
        <v>416.32000732421881</v>
      </c>
      <c r="D45" s="7">
        <v>411.58999633789063</v>
      </c>
      <c r="E45" s="7">
        <v>413.2698974609375</v>
      </c>
      <c r="F45">
        <v>5830830</v>
      </c>
      <c r="G45" s="7">
        <v>412.03997802734381</v>
      </c>
      <c r="H45" t="s">
        <v>10</v>
      </c>
      <c r="I45" s="13">
        <v>2.6203189556230459E-2</v>
      </c>
    </row>
    <row r="46" spans="1:9" x14ac:dyDescent="0.25">
      <c r="A46" s="1">
        <v>46071.6875</v>
      </c>
      <c r="B46" s="7">
        <v>415.21499633789063</v>
      </c>
      <c r="C46" s="7">
        <v>416.14999389648438</v>
      </c>
      <c r="D46" s="7">
        <v>413.760009765625</v>
      </c>
      <c r="E46" s="7">
        <v>414.41000366210938</v>
      </c>
      <c r="F46">
        <v>3667109</v>
      </c>
      <c r="G46" s="7">
        <v>412.802978515625</v>
      </c>
      <c r="H46" t="s">
        <v>10</v>
      </c>
      <c r="I46" s="13">
        <v>2.637043292874584E-2</v>
      </c>
    </row>
    <row r="47" spans="1:9" x14ac:dyDescent="0.25">
      <c r="A47" s="1">
        <v>46071.729166666657</v>
      </c>
      <c r="B47" s="7">
        <v>413.92999267578119</v>
      </c>
      <c r="C47" s="7">
        <v>416.89999389648438</v>
      </c>
      <c r="D47" s="7">
        <v>413.42999267578119</v>
      </c>
      <c r="E47" s="7">
        <v>415.17999267578119</v>
      </c>
      <c r="F47">
        <v>3606640</v>
      </c>
      <c r="G47" s="7">
        <v>413.47699584960941</v>
      </c>
      <c r="H47" t="s">
        <v>10</v>
      </c>
      <c r="I47" s="13">
        <v>2.1526101298132521E-2</v>
      </c>
    </row>
    <row r="48" spans="1:9" x14ac:dyDescent="0.25">
      <c r="A48" s="1">
        <v>46071.770833333343</v>
      </c>
      <c r="B48" s="7">
        <v>412.60000610351563</v>
      </c>
      <c r="C48" s="7">
        <v>414.20989990234381</v>
      </c>
      <c r="D48" s="7">
        <v>412.5</v>
      </c>
      <c r="E48" s="7">
        <v>413.92999267578119</v>
      </c>
      <c r="F48">
        <v>3525168</v>
      </c>
      <c r="G48" s="7">
        <v>413.87899780273438</v>
      </c>
      <c r="H48" t="s">
        <v>11</v>
      </c>
      <c r="I48" s="13">
        <v>1.725484169653831E-2</v>
      </c>
    </row>
    <row r="49" spans="1:9" x14ac:dyDescent="0.25">
      <c r="A49" s="1">
        <v>46071.8125</v>
      </c>
      <c r="B49" s="7">
        <v>410.67999267578119</v>
      </c>
      <c r="C49" s="7">
        <v>412.83999633789063</v>
      </c>
      <c r="D49" s="7">
        <v>409.90008544921881</v>
      </c>
      <c r="E49" s="7">
        <v>412.60000610351563</v>
      </c>
      <c r="F49">
        <v>4436796</v>
      </c>
      <c r="G49" s="7">
        <v>413.36099853515623</v>
      </c>
      <c r="H49" t="s">
        <v>11</v>
      </c>
      <c r="I49" s="13">
        <v>1.378992817693782E-2</v>
      </c>
    </row>
    <row r="50" spans="1:9" x14ac:dyDescent="0.25">
      <c r="A50" s="1">
        <v>46071.854166666657</v>
      </c>
      <c r="B50" s="7">
        <v>411.20001220703119</v>
      </c>
      <c r="C50" s="7">
        <v>412.12100219726563</v>
      </c>
      <c r="D50" s="7">
        <v>410.41000366210938</v>
      </c>
      <c r="E50" s="7">
        <v>410.6199951171875</v>
      </c>
      <c r="F50">
        <v>2953314</v>
      </c>
      <c r="G50" s="7">
        <v>412.72500000000002</v>
      </c>
      <c r="H50" t="s">
        <v>11</v>
      </c>
      <c r="I50" s="13">
        <v>1.663783194826627E-2</v>
      </c>
    </row>
    <row r="51" spans="1:9" x14ac:dyDescent="0.25">
      <c r="A51" s="1">
        <v>46072.604166666657</v>
      </c>
      <c r="B51" s="7">
        <v>408.69000244140619</v>
      </c>
      <c r="C51" s="7">
        <v>410.66000366210938</v>
      </c>
      <c r="D51" s="7">
        <v>404.1099853515625</v>
      </c>
      <c r="E51" s="7">
        <v>407.33349609375</v>
      </c>
      <c r="F51">
        <v>9061292</v>
      </c>
      <c r="G51" s="7">
        <v>411.42000122070311</v>
      </c>
      <c r="H51" t="s">
        <v>11</v>
      </c>
      <c r="I51" s="13">
        <v>1.363719191769659E-2</v>
      </c>
    </row>
    <row r="52" spans="1:9" x14ac:dyDescent="0.25">
      <c r="A52" s="1">
        <v>46072.645833333343</v>
      </c>
      <c r="B52" s="7">
        <v>413.85000610351563</v>
      </c>
      <c r="C52" s="7">
        <v>414.98001098632813</v>
      </c>
      <c r="D52" s="7">
        <v>408.45999145507813</v>
      </c>
      <c r="E52" s="7">
        <v>408.69000244140619</v>
      </c>
      <c r="F52">
        <v>6692320</v>
      </c>
      <c r="G52" s="7">
        <v>411.40400390625001</v>
      </c>
      <c r="H52" t="s">
        <v>10</v>
      </c>
      <c r="I52" s="13">
        <v>2.647499923616721E-2</v>
      </c>
    </row>
    <row r="53" spans="1:9" x14ac:dyDescent="0.25">
      <c r="A53" s="1">
        <v>46072.6875</v>
      </c>
      <c r="B53" s="7">
        <v>413.7449951171875</v>
      </c>
      <c r="C53" s="7">
        <v>415.24990844726563</v>
      </c>
      <c r="D53" s="7">
        <v>411.94000244140619</v>
      </c>
      <c r="E53" s="7">
        <v>413.8599853515625</v>
      </c>
      <c r="F53">
        <v>4738635</v>
      </c>
      <c r="G53" s="7">
        <v>411.63300170898441</v>
      </c>
      <c r="H53" t="s">
        <v>10</v>
      </c>
      <c r="I53" s="13">
        <v>2.5643640755074061E-2</v>
      </c>
    </row>
    <row r="54" spans="1:9" x14ac:dyDescent="0.25">
      <c r="A54" s="1">
        <v>46072.729166666657</v>
      </c>
      <c r="B54" s="7">
        <v>409.77508544921881</v>
      </c>
      <c r="C54" s="7">
        <v>413.80999755859381</v>
      </c>
      <c r="D54" s="7">
        <v>408.57998657226563</v>
      </c>
      <c r="E54" s="7">
        <v>413.7449951171875</v>
      </c>
      <c r="F54">
        <v>5285290</v>
      </c>
      <c r="G54" s="7">
        <v>411.4520202636719</v>
      </c>
      <c r="H54" t="s">
        <v>11</v>
      </c>
      <c r="I54" s="13">
        <v>1.6249335772284691E-2</v>
      </c>
    </row>
    <row r="55" spans="1:9" x14ac:dyDescent="0.25">
      <c r="A55" s="1">
        <v>46072.770833333343</v>
      </c>
      <c r="B55" s="7">
        <v>409.77499389648438</v>
      </c>
      <c r="C55" s="7">
        <v>411.17001342773438</v>
      </c>
      <c r="D55" s="7">
        <v>408.67001342773438</v>
      </c>
      <c r="E55" s="7">
        <v>409.76998901367188</v>
      </c>
      <c r="F55">
        <v>3690433</v>
      </c>
      <c r="G55" s="7">
        <v>411.16701660156252</v>
      </c>
      <c r="H55" t="s">
        <v>11</v>
      </c>
      <c r="I55" s="13">
        <v>1.695352980892454E-2</v>
      </c>
    </row>
    <row r="56" spans="1:9" x14ac:dyDescent="0.25">
      <c r="A56" s="1">
        <v>46072.8125</v>
      </c>
      <c r="B56" s="7">
        <v>409.97000122070313</v>
      </c>
      <c r="C56" s="7">
        <v>411.3699951171875</v>
      </c>
      <c r="D56" s="7">
        <v>408.51998901367188</v>
      </c>
      <c r="E56" s="7">
        <v>409.760009765625</v>
      </c>
      <c r="F56">
        <v>3219928</v>
      </c>
      <c r="G56" s="7">
        <v>411.42301635742189</v>
      </c>
      <c r="H56" t="s">
        <v>11</v>
      </c>
      <c r="I56" s="13">
        <v>1.6804406431323391E-2</v>
      </c>
    </row>
    <row r="57" spans="1:9" x14ac:dyDescent="0.25">
      <c r="A57" s="1">
        <v>46072.854166666657</v>
      </c>
      <c r="B57" s="7">
        <v>411.72119140625</v>
      </c>
      <c r="C57" s="7">
        <v>411.89999389648438</v>
      </c>
      <c r="D57" s="7">
        <v>409.760009765625</v>
      </c>
      <c r="E57" s="7">
        <v>409.94000244140619</v>
      </c>
      <c r="F57">
        <v>2412396</v>
      </c>
      <c r="G57" s="7">
        <v>410.99725341796881</v>
      </c>
      <c r="H57" t="s">
        <v>10</v>
      </c>
      <c r="I57" s="13">
        <v>2.2205528641343841E-2</v>
      </c>
    </row>
    <row r="58" spans="1:9" x14ac:dyDescent="0.25">
      <c r="A58" s="1">
        <v>46073.604166666657</v>
      </c>
      <c r="B58" s="7">
        <v>409.80990600585938</v>
      </c>
      <c r="C58" s="7">
        <v>413.23989868164063</v>
      </c>
      <c r="D58" s="7">
        <v>405.5</v>
      </c>
      <c r="E58" s="7">
        <v>408.28500366210938</v>
      </c>
      <c r="F58">
        <v>10757721</v>
      </c>
      <c r="G58" s="7">
        <v>410.21023559570313</v>
      </c>
      <c r="H58" t="s">
        <v>11</v>
      </c>
      <c r="I58" s="13">
        <v>1.941233345408757E-2</v>
      </c>
    </row>
    <row r="59" spans="1:9" x14ac:dyDescent="0.25">
      <c r="A59" s="1">
        <v>46073.645833333343</v>
      </c>
      <c r="B59" s="7">
        <v>409.39730834960938</v>
      </c>
      <c r="C59" s="7">
        <v>414.70001220703119</v>
      </c>
      <c r="D59" s="7">
        <v>408.60000610351563</v>
      </c>
      <c r="E59" s="7">
        <v>409.80999755859381</v>
      </c>
      <c r="F59">
        <v>6659915</v>
      </c>
      <c r="G59" s="7">
        <v>410.13468017578123</v>
      </c>
      <c r="H59" t="s">
        <v>11</v>
      </c>
      <c r="I59" s="13">
        <v>1.8573594604920911E-2</v>
      </c>
    </row>
    <row r="60" spans="1:9" x14ac:dyDescent="0.25">
      <c r="A60" s="1">
        <v>46073.6875</v>
      </c>
      <c r="B60" s="7">
        <v>407.41000366210938</v>
      </c>
      <c r="C60" s="7">
        <v>411.489990234375</v>
      </c>
      <c r="D60" s="7">
        <v>405.8900146484375</v>
      </c>
      <c r="E60" s="7">
        <v>409.3800048828125</v>
      </c>
      <c r="F60">
        <v>5189482</v>
      </c>
      <c r="G60" s="7">
        <v>409.66168212890619</v>
      </c>
      <c r="H60" t="s">
        <v>11</v>
      </c>
      <c r="I60" s="13">
        <v>1.4799556971869019E-2</v>
      </c>
    </row>
    <row r="61" spans="1:9" x14ac:dyDescent="0.25">
      <c r="A61" s="1">
        <v>46073.729166666657</v>
      </c>
      <c r="B61" s="7">
        <v>409.3599853515625</v>
      </c>
      <c r="C61" s="7">
        <v>410.85000610351563</v>
      </c>
      <c r="D61" s="7">
        <v>406.3900146484375</v>
      </c>
      <c r="E61" s="7">
        <v>407.44000244140619</v>
      </c>
      <c r="F61">
        <v>5440903</v>
      </c>
      <c r="G61" s="7">
        <v>409.5396789550781</v>
      </c>
      <c r="H61" t="s">
        <v>11</v>
      </c>
      <c r="I61" s="13">
        <v>1.996043907803885E-2</v>
      </c>
    </row>
    <row r="62" spans="1:9" x14ac:dyDescent="0.25">
      <c r="A62" s="1">
        <v>46073.770833333343</v>
      </c>
      <c r="B62" s="7">
        <v>411.07998657226563</v>
      </c>
      <c r="C62" s="7">
        <v>413.760009765625</v>
      </c>
      <c r="D62" s="7">
        <v>408.66000366210938</v>
      </c>
      <c r="E62" s="7">
        <v>409.38760375976563</v>
      </c>
      <c r="F62">
        <v>4599772</v>
      </c>
      <c r="G62" s="7">
        <v>409.41143798828119</v>
      </c>
      <c r="H62" t="s">
        <v>10</v>
      </c>
      <c r="I62" s="13">
        <v>2.4566817464779619E-2</v>
      </c>
    </row>
    <row r="63" spans="1:9" x14ac:dyDescent="0.25">
      <c r="A63" s="1">
        <v>46073.8125</v>
      </c>
      <c r="B63" s="7">
        <v>409.79000854492188</v>
      </c>
      <c r="C63" s="7">
        <v>411.58999633789063</v>
      </c>
      <c r="D63" s="7">
        <v>409.52999877929688</v>
      </c>
      <c r="E63" s="7">
        <v>411.1099853515625</v>
      </c>
      <c r="F63">
        <v>3411540</v>
      </c>
      <c r="G63" s="7">
        <v>409.40745849609368</v>
      </c>
      <c r="H63" t="s">
        <v>10</v>
      </c>
      <c r="I63" s="13">
        <v>2.136163195421496E-2</v>
      </c>
    </row>
    <row r="64" spans="1:9" x14ac:dyDescent="0.25">
      <c r="A64" s="1">
        <v>46073.854166666657</v>
      </c>
      <c r="B64" s="7">
        <v>411.70999145507813</v>
      </c>
      <c r="C64" s="7">
        <v>412.239990234375</v>
      </c>
      <c r="D64" s="7">
        <v>409.67001342773438</v>
      </c>
      <c r="E64" s="7">
        <v>409.78500366210938</v>
      </c>
      <c r="F64">
        <v>2596449</v>
      </c>
      <c r="G64" s="7">
        <v>409.8699951171875</v>
      </c>
      <c r="H64" t="s">
        <v>10</v>
      </c>
      <c r="I64" s="13">
        <v>2.4988999398541632E-2</v>
      </c>
    </row>
    <row r="65" spans="1:9" x14ac:dyDescent="0.25">
      <c r="A65" s="1">
        <v>46076.604166666657</v>
      </c>
      <c r="B65" s="7">
        <v>403.3800048828125</v>
      </c>
      <c r="C65" s="7">
        <v>407.70001220703119</v>
      </c>
      <c r="D65" s="7">
        <v>402</v>
      </c>
      <c r="E65" s="7">
        <v>407.28500366210938</v>
      </c>
      <c r="F65">
        <v>10591210</v>
      </c>
      <c r="G65" s="7">
        <v>409.06399536132813</v>
      </c>
      <c r="H65" t="s">
        <v>11</v>
      </c>
      <c r="I65" s="13">
        <v>6.229476433979233E-3</v>
      </c>
    </row>
    <row r="66" spans="1:9" x14ac:dyDescent="0.25">
      <c r="A66" s="1">
        <v>46076.645833333343</v>
      </c>
      <c r="B66" s="7">
        <v>397.97000122070313</v>
      </c>
      <c r="C66" s="7">
        <v>404.07000732421881</v>
      </c>
      <c r="D66" s="7">
        <v>396.6199951171875</v>
      </c>
      <c r="E66" s="7">
        <v>403.39999389648438</v>
      </c>
      <c r="F66">
        <v>8461994</v>
      </c>
      <c r="G66" s="7">
        <v>406.78599853515618</v>
      </c>
      <c r="H66" t="s">
        <v>11</v>
      </c>
      <c r="I66" s="13">
        <v>-1.706451444608752E-3</v>
      </c>
    </row>
    <row r="67" spans="1:9" x14ac:dyDescent="0.25">
      <c r="A67" s="1">
        <v>46076.6875</v>
      </c>
      <c r="B67" s="7">
        <v>397.42001342773438</v>
      </c>
      <c r="C67" s="7">
        <v>399.2698974609375</v>
      </c>
      <c r="D67" s="7">
        <v>397.3900146484375</v>
      </c>
      <c r="E67" s="7">
        <v>397.989990234375</v>
      </c>
      <c r="F67">
        <v>4886095</v>
      </c>
      <c r="G67" s="7">
        <v>404.05400390624999</v>
      </c>
      <c r="H67" t="s">
        <v>11</v>
      </c>
      <c r="I67" s="13">
        <v>3.65451654022061E-3</v>
      </c>
    </row>
    <row r="68" spans="1:9" x14ac:dyDescent="0.25">
      <c r="A68" s="1">
        <v>46076.729166666657</v>
      </c>
      <c r="B68" s="7">
        <v>396.04000854492188</v>
      </c>
      <c r="C68" s="7">
        <v>397.45999145507813</v>
      </c>
      <c r="D68" s="7">
        <v>394.239990234375</v>
      </c>
      <c r="E68" s="7">
        <v>397.41009521484381</v>
      </c>
      <c r="F68">
        <v>6773472</v>
      </c>
      <c r="G68" s="7">
        <v>401.30400390624999</v>
      </c>
      <c r="H68" t="s">
        <v>11</v>
      </c>
      <c r="I68" s="13">
        <v>7.0232386550230343E-3</v>
      </c>
    </row>
    <row r="69" spans="1:9" x14ac:dyDescent="0.25">
      <c r="A69" s="1">
        <v>46076.770833333343</v>
      </c>
      <c r="B69" s="7">
        <v>394.39498901367188</v>
      </c>
      <c r="C69" s="7">
        <v>396.3599853515625</v>
      </c>
      <c r="D69" s="7">
        <v>394.17001342773438</v>
      </c>
      <c r="E69" s="7">
        <v>396.05999755859381</v>
      </c>
      <c r="F69">
        <v>4394057</v>
      </c>
      <c r="G69" s="7">
        <v>397.84100341796881</v>
      </c>
      <c r="H69" t="s">
        <v>11</v>
      </c>
      <c r="I69" s="13">
        <v>1.156960414579747E-2</v>
      </c>
    </row>
    <row r="70" spans="1:9" x14ac:dyDescent="0.25">
      <c r="A70" s="1">
        <v>46076.8125</v>
      </c>
      <c r="B70" s="7">
        <v>395.53118896484381</v>
      </c>
      <c r="C70" s="7">
        <v>396.02999877929688</v>
      </c>
      <c r="D70" s="7">
        <v>394.04000854492188</v>
      </c>
      <c r="E70" s="7">
        <v>394.39511108398438</v>
      </c>
      <c r="F70">
        <v>4861633</v>
      </c>
      <c r="G70" s="7">
        <v>396.271240234375</v>
      </c>
      <c r="H70" t="s">
        <v>11</v>
      </c>
      <c r="I70" s="13">
        <v>1.8502513094433529E-2</v>
      </c>
    </row>
    <row r="71" spans="1:9" x14ac:dyDescent="0.25">
      <c r="A71" s="1">
        <v>46076.854166666657</v>
      </c>
      <c r="B71" s="7">
        <v>399.85000610351563</v>
      </c>
      <c r="C71" s="7">
        <v>400</v>
      </c>
      <c r="D71" s="7">
        <v>395.45001220703119</v>
      </c>
      <c r="E71" s="7">
        <v>395.52999877929688</v>
      </c>
      <c r="F71">
        <v>6059604</v>
      </c>
      <c r="G71" s="7">
        <v>396.64724121093752</v>
      </c>
      <c r="H71" t="s">
        <v>10</v>
      </c>
      <c r="I71" s="13">
        <v>2.8647543505110229E-2</v>
      </c>
    </row>
    <row r="72" spans="1:9" x14ac:dyDescent="0.25">
      <c r="A72" s="1">
        <v>46077.604166666657</v>
      </c>
      <c r="B72" s="7">
        <v>407.44500732421881</v>
      </c>
      <c r="C72" s="7">
        <v>407.54000854492188</v>
      </c>
      <c r="D72" s="7">
        <v>397.6400146484375</v>
      </c>
      <c r="E72" s="7">
        <v>399.54998779296881</v>
      </c>
      <c r="F72">
        <v>11029900</v>
      </c>
      <c r="G72" s="7">
        <v>398.65223999023442</v>
      </c>
      <c r="H72" t="s">
        <v>12</v>
      </c>
      <c r="I72" s="13">
        <v>4.291452511469647E-2</v>
      </c>
    </row>
    <row r="73" spans="1:9" x14ac:dyDescent="0.25">
      <c r="A73" s="1">
        <v>46077.645833333343</v>
      </c>
      <c r="B73" s="7">
        <v>403.32998657226563</v>
      </c>
      <c r="C73" s="7">
        <v>407.70999145507813</v>
      </c>
      <c r="D73" s="7">
        <v>402.80999755859381</v>
      </c>
      <c r="E73" s="7">
        <v>407.45001220703119</v>
      </c>
      <c r="F73">
        <v>6812426</v>
      </c>
      <c r="G73" s="7">
        <v>400.1102355957031</v>
      </c>
      <c r="H73" t="s">
        <v>10</v>
      </c>
      <c r="I73" s="13">
        <v>2.86195507477441E-2</v>
      </c>
    </row>
    <row r="74" spans="1:9" x14ac:dyDescent="0.25">
      <c r="A74" s="1">
        <v>46077.6875</v>
      </c>
      <c r="B74" s="7">
        <v>404.04010009765619</v>
      </c>
      <c r="C74" s="7">
        <v>405.67001342773438</v>
      </c>
      <c r="D74" s="7">
        <v>402.260009765625</v>
      </c>
      <c r="E74" s="7">
        <v>403.32998657226563</v>
      </c>
      <c r="F74">
        <v>4907449</v>
      </c>
      <c r="G74" s="7">
        <v>402.03925781250001</v>
      </c>
      <c r="H74" t="s">
        <v>10</v>
      </c>
      <c r="I74" s="13">
        <v>2.548646286293408E-2</v>
      </c>
    </row>
    <row r="75" spans="1:9" x14ac:dyDescent="0.25">
      <c r="A75" s="1">
        <v>46077.729166666657</v>
      </c>
      <c r="B75" s="7">
        <v>405.32989501953119</v>
      </c>
      <c r="C75" s="7">
        <v>406.02999877929688</v>
      </c>
      <c r="D75" s="7">
        <v>403.70001220703119</v>
      </c>
      <c r="E75" s="7">
        <v>404.08999633789063</v>
      </c>
      <c r="F75">
        <v>3316814</v>
      </c>
      <c r="G75" s="7">
        <v>403.99899902343748</v>
      </c>
      <c r="H75" t="s">
        <v>10</v>
      </c>
      <c r="I75" s="13">
        <v>2.376969916552852E-2</v>
      </c>
    </row>
    <row r="76" spans="1:9" x14ac:dyDescent="0.25">
      <c r="A76" s="1">
        <v>46077.770833333343</v>
      </c>
      <c r="B76" s="7">
        <v>408.6400146484375</v>
      </c>
      <c r="C76" s="7">
        <v>409.54998779296881</v>
      </c>
      <c r="D76" s="7">
        <v>405.14999389648438</v>
      </c>
      <c r="E76" s="7">
        <v>405.33999633789063</v>
      </c>
      <c r="F76">
        <v>5302925</v>
      </c>
      <c r="G76" s="7">
        <v>405.75700073242189</v>
      </c>
      <c r="H76" t="s">
        <v>10</v>
      </c>
      <c r="I76" s="13">
        <v>2.7658440966983579E-2</v>
      </c>
    </row>
    <row r="77" spans="1:9" x14ac:dyDescent="0.25">
      <c r="A77" s="1">
        <v>46077.8125</v>
      </c>
      <c r="B77" s="7">
        <v>408.760009765625</v>
      </c>
      <c r="C77" s="7">
        <v>410.41000366210938</v>
      </c>
      <c r="D77" s="7">
        <v>407.91000366210938</v>
      </c>
      <c r="E77" s="7">
        <v>408.6400146484375</v>
      </c>
      <c r="F77">
        <v>4666369</v>
      </c>
      <c r="G77" s="7">
        <v>406.02000122070308</v>
      </c>
      <c r="H77" t="s">
        <v>10</v>
      </c>
      <c r="I77" s="13">
        <v>2.7294343941748209E-2</v>
      </c>
    </row>
    <row r="78" spans="1:9" x14ac:dyDescent="0.25">
      <c r="A78" s="1">
        <v>46077.854166666657</v>
      </c>
      <c r="B78" s="7">
        <v>409.3599853515625</v>
      </c>
      <c r="C78" s="7">
        <v>410.82000732421881</v>
      </c>
      <c r="D78" s="7">
        <v>408.67001342773438</v>
      </c>
      <c r="E78" s="7">
        <v>408.79998779296881</v>
      </c>
      <c r="F78">
        <v>3668801</v>
      </c>
      <c r="G78" s="7">
        <v>407.22600097656249</v>
      </c>
      <c r="H78" t="s">
        <v>10</v>
      </c>
      <c r="I78" s="13">
        <v>2.5755403056745639E-2</v>
      </c>
    </row>
    <row r="79" spans="1:9" x14ac:dyDescent="0.25">
      <c r="A79" s="1">
        <v>46078.604166666657</v>
      </c>
      <c r="B79" s="7">
        <v>414.82998657226563</v>
      </c>
      <c r="C79" s="7">
        <v>420.33999633789063</v>
      </c>
      <c r="D79" s="7">
        <v>412.14999389648438</v>
      </c>
      <c r="E79" s="7">
        <v>412.14999389648438</v>
      </c>
      <c r="F79">
        <v>11792494</v>
      </c>
      <c r="G79" s="7">
        <v>409.38397827148441</v>
      </c>
      <c r="H79" t="s">
        <v>12</v>
      </c>
      <c r="I79" s="13">
        <v>3.3982586355314238E-2</v>
      </c>
    </row>
    <row r="80" spans="1:9" x14ac:dyDescent="0.25">
      <c r="A80" s="1">
        <v>46078.645833333343</v>
      </c>
      <c r="B80" s="7">
        <v>413.96011352539063</v>
      </c>
      <c r="C80" s="7">
        <v>415.79998779296881</v>
      </c>
      <c r="D80" s="7">
        <v>413.3599853515625</v>
      </c>
      <c r="E80" s="7">
        <v>414.80999755859381</v>
      </c>
      <c r="F80">
        <v>5681106</v>
      </c>
      <c r="G80" s="7">
        <v>411.11002197265623</v>
      </c>
      <c r="H80" t="s">
        <v>10</v>
      </c>
      <c r="I80" s="13">
        <v>2.7482319892548561E-2</v>
      </c>
    </row>
    <row r="81" spans="1:9" x14ac:dyDescent="0.25">
      <c r="A81" s="1">
        <v>46078.6875</v>
      </c>
      <c r="B81" s="7">
        <v>414.08499145507813</v>
      </c>
      <c r="C81" s="7">
        <v>416.92001342773438</v>
      </c>
      <c r="D81" s="7">
        <v>413.16000366210938</v>
      </c>
      <c r="E81" s="7">
        <v>413.95001220703119</v>
      </c>
      <c r="F81">
        <v>5585583</v>
      </c>
      <c r="G81" s="7">
        <v>412.19901733398439</v>
      </c>
      <c r="H81" t="s">
        <v>10</v>
      </c>
      <c r="I81" s="13">
        <v>2.5076935649379649E-2</v>
      </c>
    </row>
    <row r="82" spans="1:9" x14ac:dyDescent="0.25">
      <c r="A82" s="1">
        <v>46078.729166666657</v>
      </c>
      <c r="B82" s="7">
        <v>415.1300048828125</v>
      </c>
      <c r="C82" s="7">
        <v>415.30999755859381</v>
      </c>
      <c r="D82" s="7">
        <v>413.79998779296881</v>
      </c>
      <c r="E82" s="7">
        <v>414.09500122070313</v>
      </c>
      <c r="F82">
        <v>3208768</v>
      </c>
      <c r="G82" s="7">
        <v>413.4730163574219</v>
      </c>
      <c r="H82" t="s">
        <v>10</v>
      </c>
      <c r="I82" s="13">
        <v>2.449743765772245E-2</v>
      </c>
    </row>
    <row r="83" spans="1:9" x14ac:dyDescent="0.25">
      <c r="A83" s="1">
        <v>46078.770833333343</v>
      </c>
      <c r="B83" s="7">
        <v>415.92001342773438</v>
      </c>
      <c r="C83" s="7">
        <v>416.54998779296881</v>
      </c>
      <c r="D83" s="7">
        <v>414.89999389648438</v>
      </c>
      <c r="E83" s="7">
        <v>415.14999389648438</v>
      </c>
      <c r="F83">
        <v>2995514</v>
      </c>
      <c r="G83" s="7">
        <v>414.78502197265618</v>
      </c>
      <c r="H83" t="s">
        <v>10</v>
      </c>
      <c r="I83" s="13">
        <v>2.320034351446288E-2</v>
      </c>
    </row>
    <row r="84" spans="1:9" x14ac:dyDescent="0.25">
      <c r="A84" s="1">
        <v>46078.8125</v>
      </c>
      <c r="B84" s="7">
        <v>415.70730590820313</v>
      </c>
      <c r="C84" s="7">
        <v>416.60000610351563</v>
      </c>
      <c r="D84" s="7">
        <v>415.45001220703119</v>
      </c>
      <c r="E84" s="7">
        <v>415.95169067382813</v>
      </c>
      <c r="F84">
        <v>3293688</v>
      </c>
      <c r="G84" s="7">
        <v>414.96048583984373</v>
      </c>
      <c r="H84" t="s">
        <v>10</v>
      </c>
      <c r="I84" s="13">
        <v>2.2244630399524842E-2</v>
      </c>
    </row>
    <row r="85" spans="1:9" x14ac:dyDescent="0.25">
      <c r="A85" s="1">
        <v>46078.854166666657</v>
      </c>
      <c r="B85" s="7">
        <v>417.3900146484375</v>
      </c>
      <c r="C85" s="7">
        <v>417.6400146484375</v>
      </c>
      <c r="D85" s="7">
        <v>414.85000610351563</v>
      </c>
      <c r="E85" s="7">
        <v>415.69390869140619</v>
      </c>
      <c r="F85">
        <v>4018059</v>
      </c>
      <c r="G85" s="7">
        <v>415.64646606445308</v>
      </c>
      <c r="H85" t="s">
        <v>10</v>
      </c>
      <c r="I85" s="13">
        <v>2.4688558633497278E-2</v>
      </c>
    </row>
    <row r="86" spans="1:9" x14ac:dyDescent="0.25">
      <c r="A86" s="1">
        <v>46079.604166666657</v>
      </c>
      <c r="B86" s="7">
        <v>407.8175048828125</v>
      </c>
      <c r="C86" s="7">
        <v>416.79998779296881</v>
      </c>
      <c r="D86" s="7">
        <v>406.47000122070313</v>
      </c>
      <c r="E86" s="7">
        <v>414.5</v>
      </c>
      <c r="F86">
        <v>11463131</v>
      </c>
      <c r="G86" s="7">
        <v>414.39296875000002</v>
      </c>
      <c r="H86" t="s">
        <v>11</v>
      </c>
      <c r="I86" s="13">
        <v>4.216631281610453E-3</v>
      </c>
    </row>
    <row r="87" spans="1:9" x14ac:dyDescent="0.25">
      <c r="A87" s="1">
        <v>46079.645833333343</v>
      </c>
      <c r="B87" s="7">
        <v>409.08331298828119</v>
      </c>
      <c r="C87" s="7">
        <v>410.29998779296881</v>
      </c>
      <c r="D87" s="7">
        <v>404.83010864257813</v>
      </c>
      <c r="E87" s="7">
        <v>407.80999755859381</v>
      </c>
      <c r="F87">
        <v>5522506</v>
      </c>
      <c r="G87" s="7">
        <v>413.18363037109373</v>
      </c>
      <c r="H87" t="s">
        <v>11</v>
      </c>
      <c r="I87" s="13">
        <v>1.028192151259512E-2</v>
      </c>
    </row>
    <row r="88" spans="1:9" x14ac:dyDescent="0.25">
      <c r="A88" s="1">
        <v>46079.6875</v>
      </c>
      <c r="B88" s="7">
        <v>405.20999145507813</v>
      </c>
      <c r="C88" s="7">
        <v>410.17001342773438</v>
      </c>
      <c r="D88" s="7">
        <v>404.27999877929688</v>
      </c>
      <c r="E88" s="7">
        <v>409.07998657226563</v>
      </c>
      <c r="F88">
        <v>5978869</v>
      </c>
      <c r="G88" s="7">
        <v>411.0416259765625</v>
      </c>
      <c r="H88" t="s">
        <v>11</v>
      </c>
      <c r="I88" s="13">
        <v>5.9311684919307354E-3</v>
      </c>
    </row>
    <row r="89" spans="1:9" x14ac:dyDescent="0.25">
      <c r="A89" s="1">
        <v>46079.729166666657</v>
      </c>
      <c r="B89" s="7">
        <v>405.20999145507813</v>
      </c>
      <c r="C89" s="7">
        <v>406.46990966796881</v>
      </c>
      <c r="D89" s="7">
        <v>403.66000366210938</v>
      </c>
      <c r="E89" s="7">
        <v>405.20999145507813</v>
      </c>
      <c r="F89">
        <v>4467298</v>
      </c>
      <c r="G89" s="7">
        <v>408.94216308593752</v>
      </c>
      <c r="H89" t="s">
        <v>11</v>
      </c>
      <c r="I89" s="13">
        <v>1.1095505528823759E-2</v>
      </c>
    </row>
    <row r="90" spans="1:9" x14ac:dyDescent="0.25">
      <c r="A90" s="1">
        <v>46079.770833333343</v>
      </c>
      <c r="B90" s="7">
        <v>408.18991088867188</v>
      </c>
      <c r="C90" s="7">
        <v>409.38900756835938</v>
      </c>
      <c r="D90" s="7">
        <v>405.07998657226563</v>
      </c>
      <c r="E90" s="7">
        <v>405.22000122070313</v>
      </c>
      <c r="F90">
        <v>4046022</v>
      </c>
      <c r="G90" s="7">
        <v>407.10214233398438</v>
      </c>
      <c r="H90" t="s">
        <v>10</v>
      </c>
      <c r="I90" s="13">
        <v>2.313467289893965E-2</v>
      </c>
    </row>
    <row r="91" spans="1:9" x14ac:dyDescent="0.25">
      <c r="A91" s="1">
        <v>46079.8125</v>
      </c>
      <c r="B91" s="7">
        <v>407.70999145507813</v>
      </c>
      <c r="C91" s="7">
        <v>409.07998657226563</v>
      </c>
      <c r="D91" s="7">
        <v>407.1199951171875</v>
      </c>
      <c r="E91" s="7">
        <v>408.17999267578119</v>
      </c>
      <c r="F91">
        <v>3426907</v>
      </c>
      <c r="G91" s="7">
        <v>407.08063964843751</v>
      </c>
      <c r="H91" t="s">
        <v>10</v>
      </c>
      <c r="I91" s="13">
        <v>2.1985727164234071E-2</v>
      </c>
    </row>
    <row r="92" spans="1:9" x14ac:dyDescent="0.25">
      <c r="A92" s="1">
        <v>46079.854166666657</v>
      </c>
      <c r="B92" s="7">
        <v>408.48001098632813</v>
      </c>
      <c r="C92" s="7">
        <v>409.20001220703119</v>
      </c>
      <c r="D92" s="7">
        <v>407.69000244140619</v>
      </c>
      <c r="E92" s="7">
        <v>407.70001220703119</v>
      </c>
      <c r="F92">
        <v>2644632</v>
      </c>
      <c r="G92" s="7">
        <v>406.95997924804692</v>
      </c>
      <c r="H92" t="s">
        <v>10</v>
      </c>
      <c r="I92" s="13">
        <v>2.421947856228069E-2</v>
      </c>
    </row>
    <row r="93" spans="1:9" x14ac:dyDescent="0.25">
      <c r="A93" s="1">
        <v>46080.604166666657</v>
      </c>
      <c r="B93" s="7">
        <v>406.85400390625</v>
      </c>
      <c r="C93" s="7">
        <v>407.1099853515625</v>
      </c>
      <c r="D93" s="7">
        <v>400.89999389648438</v>
      </c>
      <c r="E93" s="7">
        <v>402.94000244140619</v>
      </c>
      <c r="F93">
        <v>8592703</v>
      </c>
      <c r="G93" s="7">
        <v>407.28878173828127</v>
      </c>
      <c r="H93" t="s">
        <v>11</v>
      </c>
      <c r="I93" s="13">
        <v>1.931888492300066E-2</v>
      </c>
    </row>
    <row r="94" spans="1:9" x14ac:dyDescent="0.25">
      <c r="A94" s="1">
        <v>46080.645833333343</v>
      </c>
      <c r="B94" s="7">
        <v>402.30999755859381</v>
      </c>
      <c r="C94" s="7">
        <v>406.92001342773438</v>
      </c>
      <c r="D94" s="7">
        <v>401.82998657226563</v>
      </c>
      <c r="E94" s="7">
        <v>406.8599853515625</v>
      </c>
      <c r="F94">
        <v>10497247</v>
      </c>
      <c r="G94" s="7">
        <v>406.70878295898439</v>
      </c>
      <c r="H94" t="s">
        <v>11</v>
      </c>
      <c r="I94" s="13">
        <v>9.3718721423196628E-3</v>
      </c>
    </row>
    <row r="95" spans="1:9" x14ac:dyDescent="0.25">
      <c r="A95" s="1">
        <v>46080.6875</v>
      </c>
      <c r="B95" s="7">
        <v>400.909912109375</v>
      </c>
      <c r="C95" s="7">
        <v>403.54000854492188</v>
      </c>
      <c r="D95" s="7">
        <v>399.02999877929688</v>
      </c>
      <c r="E95" s="7">
        <v>402.260009765625</v>
      </c>
      <c r="F95">
        <v>532089</v>
      </c>
      <c r="G95" s="7">
        <v>405.25278320312498</v>
      </c>
      <c r="H95" t="s">
        <v>11</v>
      </c>
      <c r="I95" s="13">
        <v>9.4730104428017246E-3</v>
      </c>
    </row>
    <row r="96" spans="1:9" x14ac:dyDescent="0.25">
      <c r="A96" s="1">
        <v>46080.729166666657</v>
      </c>
      <c r="B96" s="7">
        <v>399.73001098632813</v>
      </c>
      <c r="C96" s="7">
        <v>401.6099853515625</v>
      </c>
      <c r="D96" s="7">
        <v>398.52999877929688</v>
      </c>
      <c r="E96" s="7">
        <v>400.92001342773438</v>
      </c>
      <c r="F96">
        <v>4264145</v>
      </c>
      <c r="G96" s="7">
        <v>403.65678710937499</v>
      </c>
      <c r="H96" t="s">
        <v>11</v>
      </c>
      <c r="I96" s="13">
        <v>1.0481625327058619E-2</v>
      </c>
    </row>
    <row r="97" spans="1:9" x14ac:dyDescent="0.25">
      <c r="A97" s="1">
        <v>46080.770833333343</v>
      </c>
      <c r="B97" s="7">
        <v>399.73001098632813</v>
      </c>
      <c r="C97" s="7">
        <v>400.42001342773438</v>
      </c>
      <c r="D97" s="7">
        <v>398.1199951171875</v>
      </c>
      <c r="E97" s="7">
        <v>399.70001220703119</v>
      </c>
      <c r="F97">
        <v>3641343</v>
      </c>
      <c r="G97" s="7">
        <v>401.90678710937499</v>
      </c>
      <c r="H97" t="s">
        <v>11</v>
      </c>
      <c r="I97" s="13">
        <v>1.4881508337347639E-2</v>
      </c>
    </row>
    <row r="98" spans="1:9" x14ac:dyDescent="0.25">
      <c r="A98" s="1">
        <v>46080.8125</v>
      </c>
      <c r="B98" s="7">
        <v>400.17999267578119</v>
      </c>
      <c r="C98" s="7">
        <v>401.01998901367188</v>
      </c>
      <c r="D98" s="7">
        <v>398.75</v>
      </c>
      <c r="E98" s="7">
        <v>399.7349853515625</v>
      </c>
      <c r="F98">
        <v>3782831</v>
      </c>
      <c r="G98" s="7">
        <v>400.57198486328127</v>
      </c>
      <c r="H98" t="s">
        <v>11</v>
      </c>
      <c r="I98" s="13">
        <v>1.9409611086981051E-2</v>
      </c>
    </row>
    <row r="99" spans="1:9" x14ac:dyDescent="0.25">
      <c r="A99" s="1">
        <v>46080.854166666657</v>
      </c>
      <c r="B99" s="7">
        <v>402.42001342773438</v>
      </c>
      <c r="C99" s="7">
        <v>403.3900146484375</v>
      </c>
      <c r="D99" s="7">
        <v>399.27999877929688</v>
      </c>
      <c r="E99" s="7">
        <v>400.1300048828125</v>
      </c>
      <c r="F99">
        <v>4543627</v>
      </c>
      <c r="G99" s="7">
        <v>400.5939880371094</v>
      </c>
      <c r="H99" t="s">
        <v>10</v>
      </c>
      <c r="I99" s="13">
        <v>2.505948423009019E-2</v>
      </c>
    </row>
    <row r="100" spans="1:9" x14ac:dyDescent="0.25">
      <c r="A100" s="1">
        <v>46083.604166666657</v>
      </c>
      <c r="B100" s="7">
        <v>398.65411376953119</v>
      </c>
      <c r="C100" s="7">
        <v>399.21868896484381</v>
      </c>
      <c r="D100" s="7">
        <v>388.25</v>
      </c>
      <c r="E100" s="7">
        <v>390.32000732421881</v>
      </c>
      <c r="F100">
        <v>11632699</v>
      </c>
      <c r="G100" s="7">
        <v>400.1428283691406</v>
      </c>
      <c r="H100" t="s">
        <v>11</v>
      </c>
      <c r="I100" s="13">
        <v>1.6611777518734109E-2</v>
      </c>
    </row>
    <row r="101" spans="1:9" x14ac:dyDescent="0.25">
      <c r="A101" s="1">
        <v>46083.645833333343</v>
      </c>
      <c r="B101" s="7">
        <v>400.17001342773438</v>
      </c>
      <c r="C101" s="7">
        <v>403.70901489257813</v>
      </c>
      <c r="D101" s="7">
        <v>397.739990234375</v>
      </c>
      <c r="E101" s="7">
        <v>398.66500854492188</v>
      </c>
      <c r="F101">
        <v>6369385</v>
      </c>
      <c r="G101" s="7">
        <v>400.2308288574219</v>
      </c>
      <c r="H101" t="s">
        <v>10</v>
      </c>
      <c r="I101" s="13">
        <v>2.0253111339189441E-2</v>
      </c>
    </row>
    <row r="102" spans="1:9" x14ac:dyDescent="0.25">
      <c r="A102" s="1">
        <v>46083.6875</v>
      </c>
      <c r="B102" s="7">
        <v>402.51998901367188</v>
      </c>
      <c r="C102" s="7">
        <v>404.53988647460938</v>
      </c>
      <c r="D102" s="7">
        <v>399.739990234375</v>
      </c>
      <c r="E102" s="7">
        <v>400.20999145507813</v>
      </c>
      <c r="F102">
        <v>5307407</v>
      </c>
      <c r="G102" s="7">
        <v>400.7888244628906</v>
      </c>
      <c r="H102" t="s">
        <v>10</v>
      </c>
      <c r="I102" s="13">
        <v>2.4815707417616389E-2</v>
      </c>
    </row>
    <row r="103" spans="1:9" x14ac:dyDescent="0.25">
      <c r="A103" s="1">
        <v>46083.729166666657</v>
      </c>
      <c r="B103" s="7">
        <v>401.75</v>
      </c>
      <c r="C103" s="7">
        <v>403.19000244140619</v>
      </c>
      <c r="D103" s="7">
        <v>400.97000122070313</v>
      </c>
      <c r="E103" s="7">
        <v>402.47000122070313</v>
      </c>
      <c r="F103">
        <v>3707542</v>
      </c>
      <c r="G103" s="7">
        <v>401.10282592773439</v>
      </c>
      <c r="H103" t="s">
        <v>10</v>
      </c>
      <c r="I103" s="13">
        <v>2.205457825843422E-2</v>
      </c>
    </row>
    <row r="104" spans="1:9" x14ac:dyDescent="0.25">
      <c r="A104" s="1">
        <v>46083.770833333343</v>
      </c>
      <c r="B104" s="7">
        <v>402.64999389648438</v>
      </c>
      <c r="C104" s="7">
        <v>402.8699951171875</v>
      </c>
      <c r="D104" s="7">
        <v>400.10000610351563</v>
      </c>
      <c r="E104" s="7">
        <v>401.78628540039063</v>
      </c>
      <c r="F104">
        <v>3484032</v>
      </c>
      <c r="G104" s="7">
        <v>401.14882202148442</v>
      </c>
      <c r="H104" t="s">
        <v>10</v>
      </c>
      <c r="I104" s="13">
        <v>2.422671626016519E-2</v>
      </c>
    </row>
    <row r="105" spans="1:9" x14ac:dyDescent="0.25">
      <c r="A105" s="1">
        <v>46083.8125</v>
      </c>
      <c r="B105" s="7">
        <v>399.55999755859381</v>
      </c>
      <c r="C105" s="7">
        <v>402.79998779296881</v>
      </c>
      <c r="D105" s="7">
        <v>398.91000366210938</v>
      </c>
      <c r="E105" s="7">
        <v>402.66000366210938</v>
      </c>
      <c r="F105">
        <v>15081453</v>
      </c>
      <c r="G105" s="7">
        <v>401.32999877929689</v>
      </c>
      <c r="H105" t="s">
        <v>11</v>
      </c>
      <c r="I105" s="13">
        <v>1.5907817664208249E-2</v>
      </c>
    </row>
    <row r="106" spans="1:9" x14ac:dyDescent="0.25">
      <c r="A106" s="1">
        <v>46083.854166666657</v>
      </c>
      <c r="B106" s="7">
        <v>403.2349853515625</v>
      </c>
      <c r="C106" s="7">
        <v>403.489990234375</v>
      </c>
      <c r="D106" s="7">
        <v>399.55999755859381</v>
      </c>
      <c r="E106" s="7">
        <v>399.57000732421881</v>
      </c>
      <c r="F106">
        <v>5267667</v>
      </c>
      <c r="G106" s="7">
        <v>401.9429931640625</v>
      </c>
      <c r="H106" t="s">
        <v>10</v>
      </c>
      <c r="I106" s="13">
        <v>2.3688129323731381E-2</v>
      </c>
    </row>
    <row r="107" spans="1:9" x14ac:dyDescent="0.25">
      <c r="A107" s="1">
        <v>46084.604166666657</v>
      </c>
      <c r="B107" s="7">
        <v>386.72000122070313</v>
      </c>
      <c r="C107" s="7">
        <v>396.33999633789063</v>
      </c>
      <c r="D107" s="7">
        <v>386.55999755859381</v>
      </c>
      <c r="E107" s="7">
        <v>395.08999633789063</v>
      </c>
      <c r="F107">
        <v>17290057</v>
      </c>
      <c r="G107" s="7">
        <v>398.78299560546873</v>
      </c>
      <c r="H107" t="s">
        <v>11</v>
      </c>
      <c r="I107" s="13">
        <v>-1.04586943471892E-2</v>
      </c>
    </row>
    <row r="108" spans="1:9" x14ac:dyDescent="0.25">
      <c r="A108" s="1">
        <v>46084.645833333343</v>
      </c>
      <c r="B108" s="7">
        <v>392.54000854492188</v>
      </c>
      <c r="C108" s="7">
        <v>393.55999755859381</v>
      </c>
      <c r="D108" s="7">
        <v>385.39999389648438</v>
      </c>
      <c r="E108" s="7">
        <v>386.69000244140619</v>
      </c>
      <c r="F108">
        <v>12190306</v>
      </c>
      <c r="G108" s="7">
        <v>396.94099731445311</v>
      </c>
      <c r="H108" t="s">
        <v>11</v>
      </c>
      <c r="I108" s="13">
        <v>9.0946307825149203E-3</v>
      </c>
    </row>
    <row r="109" spans="1:9" x14ac:dyDescent="0.25">
      <c r="A109" s="1">
        <v>46084.6875</v>
      </c>
      <c r="B109" s="7">
        <v>392</v>
      </c>
      <c r="C109" s="7">
        <v>393.54998779296881</v>
      </c>
      <c r="D109" s="7">
        <v>389.8599853515625</v>
      </c>
      <c r="E109" s="7">
        <v>392.52999877929688</v>
      </c>
      <c r="F109">
        <v>6657822</v>
      </c>
      <c r="G109" s="7">
        <v>394.81099853515627</v>
      </c>
      <c r="H109" t="s">
        <v>11</v>
      </c>
      <c r="I109" s="13">
        <v>1.314300129453385E-2</v>
      </c>
    </row>
    <row r="110" spans="1:9" x14ac:dyDescent="0.25">
      <c r="A110" s="1">
        <v>46084.729166666657</v>
      </c>
      <c r="B110" s="7">
        <v>393.29000854492188</v>
      </c>
      <c r="C110" s="7">
        <v>393.92001342773438</v>
      </c>
      <c r="D110" s="7">
        <v>389.07998657226563</v>
      </c>
      <c r="E110" s="7">
        <v>391.95999145507813</v>
      </c>
      <c r="F110">
        <v>5541323</v>
      </c>
      <c r="G110" s="7">
        <v>393.5570007324219</v>
      </c>
      <c r="H110" t="s">
        <v>11</v>
      </c>
      <c r="I110" s="13">
        <v>1.9715910282520809E-2</v>
      </c>
    </row>
    <row r="111" spans="1:9" x14ac:dyDescent="0.25">
      <c r="A111" s="1">
        <v>46084.770833333343</v>
      </c>
      <c r="B111" s="7">
        <v>391.635009765625</v>
      </c>
      <c r="C111" s="7">
        <v>394.76998901367188</v>
      </c>
      <c r="D111" s="7">
        <v>391</v>
      </c>
      <c r="E111" s="7">
        <v>393.29998779296881</v>
      </c>
      <c r="F111">
        <v>5557143</v>
      </c>
      <c r="G111" s="7">
        <v>391.23700561523441</v>
      </c>
      <c r="H111" t="s">
        <v>10</v>
      </c>
      <c r="I111" s="13">
        <v>2.144622121545699E-2</v>
      </c>
    </row>
    <row r="112" spans="1:9" x14ac:dyDescent="0.25">
      <c r="A112" s="1">
        <v>46084.8125</v>
      </c>
      <c r="B112" s="7">
        <v>392.54998779296881</v>
      </c>
      <c r="C112" s="7">
        <v>394.70001220703119</v>
      </c>
      <c r="D112" s="7">
        <v>391.23001098632813</v>
      </c>
      <c r="E112" s="7">
        <v>391.67001342773438</v>
      </c>
      <c r="F112">
        <v>5268077</v>
      </c>
      <c r="G112" s="7">
        <v>392.40300292968749</v>
      </c>
      <c r="H112" t="s">
        <v>10</v>
      </c>
      <c r="I112" s="13">
        <v>2.0790383975262141E-2</v>
      </c>
    </row>
    <row r="113" spans="1:9" x14ac:dyDescent="0.25">
      <c r="A113" s="1">
        <v>46084.854166666657</v>
      </c>
      <c r="B113" s="7">
        <v>392.35000610351563</v>
      </c>
      <c r="C113" s="7">
        <v>393.5</v>
      </c>
      <c r="D113" s="7">
        <v>391.67001342773438</v>
      </c>
      <c r="E113" s="7">
        <v>392.54010009765619</v>
      </c>
      <c r="F113">
        <v>5308335</v>
      </c>
      <c r="G113" s="7">
        <v>392.36500244140632</v>
      </c>
      <c r="H113" t="s">
        <v>10</v>
      </c>
      <c r="I113" s="13">
        <v>2.0369162881715631E-2</v>
      </c>
    </row>
    <row r="114" spans="1:9" x14ac:dyDescent="0.25">
      <c r="A114" s="1">
        <v>46085.604166666657</v>
      </c>
      <c r="B114" s="7">
        <v>407.67001342773438</v>
      </c>
      <c r="C114" s="7">
        <v>407.85238647460938</v>
      </c>
      <c r="D114" s="7">
        <v>394.58999633789063</v>
      </c>
      <c r="E114" s="7">
        <v>397.84500122070313</v>
      </c>
      <c r="F114">
        <v>20741277</v>
      </c>
      <c r="G114" s="7">
        <v>395.49900512695308</v>
      </c>
      <c r="H114" t="s">
        <v>12</v>
      </c>
      <c r="I114" s="13">
        <v>5.1810002623411261E-2</v>
      </c>
    </row>
    <row r="115" spans="1:9" x14ac:dyDescent="0.25">
      <c r="A115" s="1">
        <v>46085.645833333343</v>
      </c>
      <c r="B115" s="7">
        <v>404.19500732421881</v>
      </c>
      <c r="C115" s="7">
        <v>407.79000854492188</v>
      </c>
      <c r="D115" s="7">
        <v>401.42999267578119</v>
      </c>
      <c r="E115" s="7">
        <v>407.67001342773438</v>
      </c>
      <c r="F115">
        <v>10733226</v>
      </c>
      <c r="G115" s="7">
        <v>397.68000488281251</v>
      </c>
      <c r="H115" t="s">
        <v>12</v>
      </c>
      <c r="I115" s="13">
        <v>3.7125025046836548E-2</v>
      </c>
    </row>
    <row r="116" spans="1:9" x14ac:dyDescent="0.25">
      <c r="A116" s="1">
        <v>46085.6875</v>
      </c>
      <c r="B116" s="7">
        <v>404.8599853515625</v>
      </c>
      <c r="C116" s="7">
        <v>407.14999389648438</v>
      </c>
      <c r="D116" s="7">
        <v>403.8800048828125</v>
      </c>
      <c r="E116" s="7">
        <v>404.17999267578119</v>
      </c>
      <c r="F116">
        <v>7361876</v>
      </c>
      <c r="G116" s="7">
        <v>400.32499999999999</v>
      </c>
      <c r="H116" t="s">
        <v>12</v>
      </c>
      <c r="I116" s="13">
        <v>3.1967611396257187E-2</v>
      </c>
    </row>
    <row r="117" spans="1:9" x14ac:dyDescent="0.25">
      <c r="A117" s="1">
        <v>46085.729166666657</v>
      </c>
      <c r="B117" s="7">
        <v>403.77999877929688</v>
      </c>
      <c r="C117" s="7">
        <v>405.04000854492188</v>
      </c>
      <c r="D117" s="7">
        <v>403.27999877929688</v>
      </c>
      <c r="E117" s="7">
        <v>404.864990234375</v>
      </c>
      <c r="F117">
        <v>6209136</v>
      </c>
      <c r="G117" s="7">
        <v>402.57100219726561</v>
      </c>
      <c r="H117" t="s">
        <v>10</v>
      </c>
      <c r="I117" s="13">
        <v>2.3472641270257E-2</v>
      </c>
    </row>
    <row r="118" spans="1:9" x14ac:dyDescent="0.25">
      <c r="A118" s="1">
        <v>46085.770833333343</v>
      </c>
      <c r="B118" s="7">
        <v>406.32501220703119</v>
      </c>
      <c r="C118" s="7">
        <v>406.83999633789063</v>
      </c>
      <c r="D118" s="7">
        <v>403.72000122070313</v>
      </c>
      <c r="E118" s="7">
        <v>403.77999877929688</v>
      </c>
      <c r="F118">
        <v>5290009</v>
      </c>
      <c r="G118" s="7">
        <v>405.36600341796873</v>
      </c>
      <c r="H118" t="s">
        <v>10</v>
      </c>
      <c r="I118" s="13">
        <v>2.282222953813462E-2</v>
      </c>
    </row>
    <row r="119" spans="1:9" x14ac:dyDescent="0.25">
      <c r="A119" s="1">
        <v>46085.8125</v>
      </c>
      <c r="B119" s="7">
        <v>406.95001220703119</v>
      </c>
      <c r="C119" s="7">
        <v>407.3800048828125</v>
      </c>
      <c r="D119" s="7">
        <v>404.85000610351563</v>
      </c>
      <c r="E119" s="7">
        <v>406.32998657226563</v>
      </c>
      <c r="F119">
        <v>5657840</v>
      </c>
      <c r="G119" s="7">
        <v>405.22200317382811</v>
      </c>
      <c r="H119" t="s">
        <v>10</v>
      </c>
      <c r="I119" s="13">
        <v>2.4759542286845241E-2</v>
      </c>
    </row>
    <row r="120" spans="1:9" x14ac:dyDescent="0.25">
      <c r="A120" s="1">
        <v>46085.854166666657</v>
      </c>
      <c r="B120" s="7">
        <v>406.07000732421881</v>
      </c>
      <c r="C120" s="7">
        <v>408.32998657226563</v>
      </c>
      <c r="D120" s="7">
        <v>404.75</v>
      </c>
      <c r="E120" s="7">
        <v>406.95001220703119</v>
      </c>
      <c r="F120">
        <v>6921220</v>
      </c>
      <c r="G120" s="7">
        <v>405.59700317382811</v>
      </c>
      <c r="H120" t="s">
        <v>10</v>
      </c>
      <c r="I120" s="13">
        <v>2.159815552989432E-2</v>
      </c>
    </row>
    <row r="121" spans="1:9" x14ac:dyDescent="0.25">
      <c r="A121" s="1">
        <v>46086.604166666657</v>
      </c>
      <c r="B121" s="7">
        <v>403.6400146484375</v>
      </c>
      <c r="C121" s="7">
        <v>407.3800048828125</v>
      </c>
      <c r="D121" s="7">
        <v>400.29998779296881</v>
      </c>
      <c r="E121" s="7">
        <v>401.57000732421881</v>
      </c>
      <c r="F121">
        <v>12709534</v>
      </c>
      <c r="G121" s="7">
        <v>405.35300903320308</v>
      </c>
      <c r="H121" t="s">
        <v>11</v>
      </c>
      <c r="I121" s="13">
        <v>1.6095987421314031E-2</v>
      </c>
    </row>
    <row r="122" spans="1:9" x14ac:dyDescent="0.25">
      <c r="A122" s="1">
        <v>46086.645833333343</v>
      </c>
      <c r="B122" s="7">
        <v>405.41531372070313</v>
      </c>
      <c r="C122" s="7">
        <v>407.05999755859381</v>
      </c>
      <c r="D122" s="7">
        <v>401.76998901367188</v>
      </c>
      <c r="E122" s="7">
        <v>403.67001342773438</v>
      </c>
      <c r="F122">
        <v>8003266</v>
      </c>
      <c r="G122" s="7">
        <v>405.68007202148442</v>
      </c>
      <c r="H122" t="s">
        <v>11</v>
      </c>
      <c r="I122" s="13">
        <v>1.974221600774622E-2</v>
      </c>
    </row>
    <row r="123" spans="1:9" x14ac:dyDescent="0.25">
      <c r="A123" s="1">
        <v>46086.6875</v>
      </c>
      <c r="B123" s="7">
        <v>403.15008544921881</v>
      </c>
      <c r="C123" s="7">
        <v>408.61990356445313</v>
      </c>
      <c r="D123" s="7">
        <v>403.04998779296881</v>
      </c>
      <c r="E123" s="7">
        <v>405.45999145507813</v>
      </c>
      <c r="F123">
        <v>6229475</v>
      </c>
      <c r="G123" s="7">
        <v>405.04508666992189</v>
      </c>
      <c r="H123" t="s">
        <v>11</v>
      </c>
      <c r="I123" s="13">
        <v>1.5634189259348241E-2</v>
      </c>
    </row>
    <row r="124" spans="1:9" x14ac:dyDescent="0.25">
      <c r="A124" s="1">
        <v>46086.729166666657</v>
      </c>
      <c r="B124" s="7">
        <v>399.73001098632813</v>
      </c>
      <c r="C124" s="7">
        <v>403.42999267578119</v>
      </c>
      <c r="D124" s="7">
        <v>399.42001342773438</v>
      </c>
      <c r="E124" s="7">
        <v>403.17001342773438</v>
      </c>
      <c r="F124">
        <v>6761936</v>
      </c>
      <c r="G124" s="7">
        <v>403.60108642578132</v>
      </c>
      <c r="H124" t="s">
        <v>11</v>
      </c>
      <c r="I124" s="13">
        <v>1.062108113920234E-2</v>
      </c>
    </row>
    <row r="125" spans="1:9" x14ac:dyDescent="0.25">
      <c r="A125" s="1">
        <v>46086.770833333343</v>
      </c>
      <c r="B125" s="7">
        <v>401.75</v>
      </c>
      <c r="C125" s="7">
        <v>402.77999877929688</v>
      </c>
      <c r="D125" s="7">
        <v>399.55999755859381</v>
      </c>
      <c r="E125" s="7">
        <v>399.70001220703119</v>
      </c>
      <c r="F125">
        <v>4565821</v>
      </c>
      <c r="G125" s="7">
        <v>402.73708496093752</v>
      </c>
      <c r="H125" t="s">
        <v>11</v>
      </c>
      <c r="I125" s="13">
        <v>1.7907202738974799E-2</v>
      </c>
    </row>
    <row r="126" spans="1:9" x14ac:dyDescent="0.25">
      <c r="A126" s="1">
        <v>46086.8125</v>
      </c>
      <c r="B126" s="7">
        <v>402.79000854492188</v>
      </c>
      <c r="C126" s="7">
        <v>404.3800048828125</v>
      </c>
      <c r="D126" s="7">
        <v>399.760009765625</v>
      </c>
      <c r="E126" s="7">
        <v>401.70001220703119</v>
      </c>
      <c r="F126">
        <v>5510901</v>
      </c>
      <c r="G126" s="7">
        <v>402.56708374023441</v>
      </c>
      <c r="H126" t="s">
        <v>10</v>
      </c>
      <c r="I126" s="13">
        <v>2.097322260494219E-2</v>
      </c>
    </row>
    <row r="127" spans="1:9" x14ac:dyDescent="0.25">
      <c r="A127" s="1">
        <v>46086.854166666657</v>
      </c>
      <c r="B127" s="7">
        <v>405.40130615234381</v>
      </c>
      <c r="C127" s="7">
        <v>405.8900146484375</v>
      </c>
      <c r="D127" s="7">
        <v>402.57000732421881</v>
      </c>
      <c r="E127" s="7">
        <v>402.76998901367188</v>
      </c>
      <c r="F127">
        <v>4836899</v>
      </c>
      <c r="G127" s="7">
        <v>402.56428222656251</v>
      </c>
      <c r="H127" t="s">
        <v>10</v>
      </c>
      <c r="I127" s="13">
        <v>2.7599368499000781E-2</v>
      </c>
    </row>
    <row r="128" spans="1:9" x14ac:dyDescent="0.25">
      <c r="A128" s="1">
        <v>46087.604166666657</v>
      </c>
      <c r="B128" s="7">
        <v>397.30999755859381</v>
      </c>
      <c r="C128" s="7">
        <v>398.5</v>
      </c>
      <c r="D128" s="7">
        <v>394.22000122070313</v>
      </c>
      <c r="E128" s="7">
        <v>398.18499755859381</v>
      </c>
      <c r="F128">
        <v>16938293</v>
      </c>
      <c r="G128" s="7">
        <v>401.39626464843752</v>
      </c>
      <c r="H128" t="s">
        <v>11</v>
      </c>
      <c r="I128" s="13">
        <v>1.002027313530965E-2</v>
      </c>
    </row>
    <row r="129" spans="1:9" x14ac:dyDescent="0.25">
      <c r="A129" s="1">
        <v>46087.645833333343</v>
      </c>
      <c r="B129" s="7">
        <v>399.6199951171875</v>
      </c>
      <c r="C129" s="7">
        <v>399.95498657226563</v>
      </c>
      <c r="D129" s="7">
        <v>395.41000366210938</v>
      </c>
      <c r="E129" s="7">
        <v>397.26998901367188</v>
      </c>
      <c r="F129">
        <v>10989461</v>
      </c>
      <c r="G129" s="7">
        <v>401.3742614746094</v>
      </c>
      <c r="H129" t="s">
        <v>11</v>
      </c>
      <c r="I129" s="13">
        <v>1.5948316475234259E-2</v>
      </c>
    </row>
    <row r="130" spans="1:9" x14ac:dyDescent="0.25">
      <c r="A130" s="1">
        <v>46087.6875</v>
      </c>
      <c r="B130" s="7">
        <v>398.8599853515625</v>
      </c>
      <c r="C130" s="7">
        <v>401.41000366210938</v>
      </c>
      <c r="D130" s="7">
        <v>397.71099853515619</v>
      </c>
      <c r="E130" s="7">
        <v>399.6300048828125</v>
      </c>
      <c r="F130">
        <v>8265638</v>
      </c>
      <c r="G130" s="7">
        <v>400.7962585449219</v>
      </c>
      <c r="H130" t="s">
        <v>11</v>
      </c>
      <c r="I130" s="13">
        <v>1.547850404146826E-2</v>
      </c>
    </row>
    <row r="131" spans="1:9" x14ac:dyDescent="0.25">
      <c r="A131" s="1">
        <v>46087.729166666657</v>
      </c>
      <c r="B131" s="7">
        <v>401.17001342773438</v>
      </c>
      <c r="C131" s="7">
        <v>402.35000610351563</v>
      </c>
      <c r="D131" s="7">
        <v>397.14999389648438</v>
      </c>
      <c r="E131" s="7">
        <v>398.91000366210938</v>
      </c>
      <c r="F131">
        <v>6641166</v>
      </c>
      <c r="G131" s="7">
        <v>400.47225952148438</v>
      </c>
      <c r="H131" t="s">
        <v>10</v>
      </c>
      <c r="I131" s="13">
        <v>2.218604866175905E-2</v>
      </c>
    </row>
    <row r="132" spans="1:9" x14ac:dyDescent="0.25">
      <c r="A132" s="1">
        <v>46087.770833333343</v>
      </c>
      <c r="B132" s="7">
        <v>399.30999755859381</v>
      </c>
      <c r="C132" s="7">
        <v>401.75</v>
      </c>
      <c r="D132" s="7">
        <v>398.29998779296881</v>
      </c>
      <c r="E132" s="7">
        <v>401.16500854492188</v>
      </c>
      <c r="F132">
        <v>5725425</v>
      </c>
      <c r="G132" s="7">
        <v>399.25399780273438</v>
      </c>
      <c r="H132" t="s">
        <v>10</v>
      </c>
      <c r="I132" s="13">
        <v>2.0551286711368629E-2</v>
      </c>
    </row>
    <row r="133" spans="1:9" x14ac:dyDescent="0.25">
      <c r="A133" s="1">
        <v>46087.8125</v>
      </c>
      <c r="B133" s="7">
        <v>396.72000122070313</v>
      </c>
      <c r="C133" s="7">
        <v>400.82998657226563</v>
      </c>
      <c r="D133" s="7">
        <v>396.5</v>
      </c>
      <c r="E133" s="7">
        <v>399.30999755859381</v>
      </c>
      <c r="F133">
        <v>5982618</v>
      </c>
      <c r="G133" s="7">
        <v>399.13599853515632</v>
      </c>
      <c r="H133" t="s">
        <v>11</v>
      </c>
      <c r="I133" s="13">
        <v>1.4231563331592411E-2</v>
      </c>
    </row>
    <row r="134" spans="1:9" x14ac:dyDescent="0.25">
      <c r="A134" s="1">
        <v>46087.854166666657</v>
      </c>
      <c r="B134" s="7">
        <v>396.55999755859381</v>
      </c>
      <c r="C134" s="7">
        <v>398.20001220703119</v>
      </c>
      <c r="D134" s="7">
        <v>396.20001220703119</v>
      </c>
      <c r="E134" s="7">
        <v>396.73001098632813</v>
      </c>
      <c r="F134">
        <v>5246449</v>
      </c>
      <c r="G134" s="7">
        <v>398.52399902343751</v>
      </c>
      <c r="H134" t="s">
        <v>11</v>
      </c>
      <c r="I134" s="13">
        <v>1.5379399295501381E-2</v>
      </c>
    </row>
  </sheetData>
  <conditionalFormatting sqref="H1:H1048576">
    <cfRule type="containsText" dxfId="11" priority="1" operator="containsText" text="Moderate">
      <formula>NOT(ISERROR(SEARCH("Moderate",H1)))</formula>
    </cfRule>
    <cfRule type="containsText" dxfId="10" priority="2" operator="containsText" text="low">
      <formula>NOT(ISERROR(SEARCH("low",H1)))</formula>
    </cfRule>
    <cfRule type="containsText" dxfId="9" priority="3" operator="containsText" text="High ">
      <formula>NOT(ISERROR(SEARCH("High ",H1)))</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2843-8E3A-4B92-908D-13533231B367}">
  <dimension ref="A1:N36"/>
  <sheetViews>
    <sheetView workbookViewId="0">
      <selection activeCell="I36" sqref="I1:I36"/>
    </sheetView>
  </sheetViews>
  <sheetFormatPr defaultRowHeight="13.5" x14ac:dyDescent="0.25"/>
  <cols>
    <col min="1" max="1" width="19.58203125" customWidth="1"/>
    <col min="2" max="2" width="13.33203125" customWidth="1"/>
    <col min="3" max="3" width="13.5" customWidth="1"/>
    <col min="4" max="4" width="15.1640625" customWidth="1"/>
    <col min="5" max="5" width="13.75" customWidth="1"/>
    <col min="6" max="6" width="11.1640625" customWidth="1"/>
    <col min="7" max="7" width="14" customWidth="1"/>
    <col min="8" max="8" width="12.83203125" customWidth="1"/>
    <col min="9" max="9" width="13.1640625" customWidth="1"/>
    <col min="11" max="12" width="16.25" customWidth="1"/>
  </cols>
  <sheetData>
    <row r="1" spans="1:14" x14ac:dyDescent="0.25">
      <c r="A1" t="s">
        <v>0</v>
      </c>
      <c r="B1" t="s">
        <v>1</v>
      </c>
      <c r="C1" t="s">
        <v>2</v>
      </c>
      <c r="D1" t="s">
        <v>3</v>
      </c>
      <c r="E1" t="s">
        <v>4</v>
      </c>
      <c r="F1" t="s">
        <v>5</v>
      </c>
      <c r="G1" t="s">
        <v>6</v>
      </c>
      <c r="H1" t="s">
        <v>7</v>
      </c>
      <c r="I1" t="s">
        <v>8</v>
      </c>
      <c r="J1" t="s">
        <v>23</v>
      </c>
      <c r="K1" t="s">
        <v>14</v>
      </c>
      <c r="L1" t="s">
        <v>25</v>
      </c>
    </row>
    <row r="2" spans="1:14" x14ac:dyDescent="0.25">
      <c r="A2" s="1">
        <v>46083.604166666657</v>
      </c>
      <c r="B2" s="7">
        <v>398.65411376953119</v>
      </c>
      <c r="C2" s="7">
        <v>399.21868896484381</v>
      </c>
      <c r="D2" s="7">
        <v>388.25</v>
      </c>
      <c r="E2" s="7">
        <v>390.32000732421881</v>
      </c>
      <c r="F2">
        <v>11632699</v>
      </c>
      <c r="G2" s="7"/>
      <c r="H2" t="s">
        <v>9</v>
      </c>
      <c r="I2" s="6">
        <v>0</v>
      </c>
    </row>
    <row r="3" spans="1:14" x14ac:dyDescent="0.25">
      <c r="A3" s="1">
        <v>46083.645833333343</v>
      </c>
      <c r="B3" s="7">
        <v>400.17001342773438</v>
      </c>
      <c r="C3" s="7">
        <v>403.70901489257813</v>
      </c>
      <c r="D3" s="7">
        <v>397.739990234375</v>
      </c>
      <c r="E3" s="7">
        <v>398.66500854492188</v>
      </c>
      <c r="F3">
        <v>6369385</v>
      </c>
      <c r="G3" s="7"/>
      <c r="H3" t="s">
        <v>9</v>
      </c>
      <c r="I3" s="6">
        <v>0</v>
      </c>
      <c r="N3" t="s">
        <v>13</v>
      </c>
    </row>
    <row r="4" spans="1:14" x14ac:dyDescent="0.25">
      <c r="A4" s="1">
        <v>46083.6875</v>
      </c>
      <c r="B4" s="7">
        <v>402.51998901367188</v>
      </c>
      <c r="C4" s="7">
        <v>404.53988647460938</v>
      </c>
      <c r="D4" s="7">
        <v>399.739990234375</v>
      </c>
      <c r="E4" s="7">
        <v>400.20999145507813</v>
      </c>
      <c r="F4">
        <v>5307407</v>
      </c>
      <c r="G4" s="7"/>
      <c r="H4" t="s">
        <v>9</v>
      </c>
      <c r="I4" s="6">
        <v>0</v>
      </c>
    </row>
    <row r="5" spans="1:14" x14ac:dyDescent="0.25">
      <c r="A5" s="1">
        <v>46083.729166666657</v>
      </c>
      <c r="B5" s="7">
        <v>401.75</v>
      </c>
      <c r="C5" s="7">
        <v>403.19000244140619</v>
      </c>
      <c r="D5" s="7">
        <v>400.97000122070313</v>
      </c>
      <c r="E5" s="7">
        <v>402.47000122070313</v>
      </c>
      <c r="F5">
        <v>3707542</v>
      </c>
      <c r="G5" s="7"/>
      <c r="H5" t="s">
        <v>9</v>
      </c>
      <c r="I5" s="6">
        <v>0</v>
      </c>
      <c r="N5">
        <f>IF(I36&lt;2,1,IF(I36&lt;=3,2,3))</f>
        <v>1</v>
      </c>
    </row>
    <row r="6" spans="1:14" x14ac:dyDescent="0.25">
      <c r="A6" s="1">
        <v>46083.770833333343</v>
      </c>
      <c r="B6" s="7">
        <v>402.64999389648438</v>
      </c>
      <c r="C6" s="7">
        <v>402.8699951171875</v>
      </c>
      <c r="D6" s="7">
        <v>400.10000610351563</v>
      </c>
      <c r="E6" s="7">
        <v>401.78628540039063</v>
      </c>
      <c r="F6">
        <v>3484032</v>
      </c>
      <c r="G6" s="7">
        <v>401.14882202148442</v>
      </c>
      <c r="H6" t="s">
        <v>10</v>
      </c>
      <c r="I6" s="6">
        <v>2.422671626016519E-2</v>
      </c>
      <c r="J6" s="2">
        <v>0.02</v>
      </c>
      <c r="K6" s="7">
        <f>_xlfn.STDEV.P(B2:B6)</f>
        <v>1.5281797280535963</v>
      </c>
      <c r="L6" s="7">
        <v>2.81</v>
      </c>
    </row>
    <row r="7" spans="1:14" x14ac:dyDescent="0.25">
      <c r="A7" s="1">
        <v>46083.8125</v>
      </c>
      <c r="B7" s="7">
        <v>399.55999755859381</v>
      </c>
      <c r="C7" s="7">
        <v>402.79998779296881</v>
      </c>
      <c r="D7" s="7">
        <v>398.91000366210938</v>
      </c>
      <c r="E7" s="7">
        <v>402.66000366210938</v>
      </c>
      <c r="F7">
        <v>15081453</v>
      </c>
      <c r="G7" s="7">
        <v>401.32999877929689</v>
      </c>
      <c r="H7" t="s">
        <v>11</v>
      </c>
      <c r="I7" s="6">
        <v>1.5907817664208249E-2</v>
      </c>
      <c r="J7" s="2">
        <v>0.02</v>
      </c>
      <c r="K7" s="7">
        <f t="shared" ref="K7:K36" si="0">_xlfn.STDEV.P(B3:B7)</f>
        <v>1.2500668166005169</v>
      </c>
      <c r="L7" s="7">
        <v>2.81</v>
      </c>
    </row>
    <row r="8" spans="1:14" x14ac:dyDescent="0.25">
      <c r="A8" s="1">
        <v>46083.854166666657</v>
      </c>
      <c r="B8" s="7">
        <v>403.2349853515625</v>
      </c>
      <c r="C8" s="7">
        <v>403.489990234375</v>
      </c>
      <c r="D8" s="7">
        <v>399.55999755859381</v>
      </c>
      <c r="E8" s="7">
        <v>399.57000732421881</v>
      </c>
      <c r="F8">
        <v>5267667</v>
      </c>
      <c r="G8" s="7">
        <v>401.9429931640625</v>
      </c>
      <c r="H8" t="s">
        <v>10</v>
      </c>
      <c r="I8" s="6">
        <v>2.3688129323731381E-2</v>
      </c>
      <c r="J8" s="2">
        <v>0.02</v>
      </c>
      <c r="K8" s="7">
        <f t="shared" si="0"/>
        <v>1.2820243738502406</v>
      </c>
      <c r="L8" s="7">
        <v>2.81</v>
      </c>
    </row>
    <row r="9" spans="1:14" x14ac:dyDescent="0.25">
      <c r="A9" s="1">
        <v>46084.604166666657</v>
      </c>
      <c r="B9" s="7">
        <v>386.72000122070313</v>
      </c>
      <c r="C9" s="7">
        <v>396.33999633789063</v>
      </c>
      <c r="D9" s="7">
        <v>386.55999755859381</v>
      </c>
      <c r="E9" s="7">
        <v>395.08999633789063</v>
      </c>
      <c r="F9">
        <v>17290057</v>
      </c>
      <c r="G9" s="7">
        <v>398.78299560546873</v>
      </c>
      <c r="H9" t="s">
        <v>11</v>
      </c>
      <c r="I9" s="6">
        <v>-1.04586943471892E-2</v>
      </c>
      <c r="J9" s="2">
        <v>0.02</v>
      </c>
      <c r="K9" s="7">
        <f t="shared" si="0"/>
        <v>6.1594897373281912</v>
      </c>
      <c r="L9" s="7">
        <v>2.81</v>
      </c>
    </row>
    <row r="10" spans="1:14" x14ac:dyDescent="0.25">
      <c r="A10" s="1">
        <v>46084.645833333343</v>
      </c>
      <c r="B10" s="7">
        <v>392.54000854492188</v>
      </c>
      <c r="C10" s="7">
        <v>393.55999755859381</v>
      </c>
      <c r="D10" s="7">
        <v>385.39999389648438</v>
      </c>
      <c r="E10" s="7">
        <v>386.69000244140619</v>
      </c>
      <c r="F10">
        <v>12190306</v>
      </c>
      <c r="G10" s="7">
        <v>396.94099731445311</v>
      </c>
      <c r="H10" t="s">
        <v>11</v>
      </c>
      <c r="I10" s="6">
        <v>9.0946307825149203E-3</v>
      </c>
      <c r="J10" s="2">
        <v>0.02</v>
      </c>
      <c r="K10" s="7">
        <f t="shared" si="0"/>
        <v>6.3702990975577007</v>
      </c>
      <c r="L10" s="7">
        <v>2.81</v>
      </c>
    </row>
    <row r="11" spans="1:14" x14ac:dyDescent="0.25">
      <c r="A11" s="1">
        <v>46084.6875</v>
      </c>
      <c r="B11" s="7">
        <v>392</v>
      </c>
      <c r="C11" s="7">
        <v>393.54998779296881</v>
      </c>
      <c r="D11" s="7">
        <v>389.8599853515625</v>
      </c>
      <c r="E11" s="7">
        <v>392.52999877929688</v>
      </c>
      <c r="F11">
        <v>6657822</v>
      </c>
      <c r="G11" s="7">
        <v>394.81099853515627</v>
      </c>
      <c r="H11" t="s">
        <v>11</v>
      </c>
      <c r="I11" s="6">
        <v>1.314300129453385E-2</v>
      </c>
      <c r="J11" s="2">
        <v>0.02</v>
      </c>
      <c r="K11" s="7">
        <f t="shared" si="0"/>
        <v>5.8658314236002411</v>
      </c>
      <c r="L11" s="7">
        <v>2.81</v>
      </c>
    </row>
    <row r="12" spans="1:14" x14ac:dyDescent="0.25">
      <c r="A12" s="1">
        <v>46084.729166666657</v>
      </c>
      <c r="B12" s="7">
        <v>393.29000854492188</v>
      </c>
      <c r="C12" s="7">
        <v>393.92001342773438</v>
      </c>
      <c r="D12" s="7">
        <v>389.07998657226563</v>
      </c>
      <c r="E12" s="7">
        <v>391.95999145507813</v>
      </c>
      <c r="F12">
        <v>5541323</v>
      </c>
      <c r="G12" s="7">
        <v>393.5570007324219</v>
      </c>
      <c r="H12" t="s">
        <v>11</v>
      </c>
      <c r="I12" s="6">
        <v>1.9715910282520809E-2</v>
      </c>
      <c r="J12" s="2">
        <v>0.02</v>
      </c>
      <c r="K12" s="7">
        <f t="shared" si="0"/>
        <v>5.3654032062828092</v>
      </c>
      <c r="L12" s="7">
        <v>2.81</v>
      </c>
    </row>
    <row r="13" spans="1:14" x14ac:dyDescent="0.25">
      <c r="A13" s="1">
        <v>46084.770833333343</v>
      </c>
      <c r="B13" s="7">
        <v>391.635009765625</v>
      </c>
      <c r="C13" s="7">
        <v>394.76998901367188</v>
      </c>
      <c r="D13" s="7">
        <v>391</v>
      </c>
      <c r="E13" s="7">
        <v>393.29998779296881</v>
      </c>
      <c r="F13">
        <v>5557143</v>
      </c>
      <c r="G13" s="7">
        <v>391.23700561523441</v>
      </c>
      <c r="H13" t="s">
        <v>10</v>
      </c>
      <c r="I13" s="6">
        <v>2.144622121545699E-2</v>
      </c>
      <c r="J13" s="2">
        <v>0.02</v>
      </c>
      <c r="K13" s="7">
        <f t="shared" si="0"/>
        <v>2.326221575826616</v>
      </c>
      <c r="L13" s="7">
        <v>2.81</v>
      </c>
    </row>
    <row r="14" spans="1:14" x14ac:dyDescent="0.25">
      <c r="A14" s="1">
        <v>46084.8125</v>
      </c>
      <c r="B14" s="7">
        <v>392.54998779296881</v>
      </c>
      <c r="C14" s="7">
        <v>394.70001220703119</v>
      </c>
      <c r="D14" s="7">
        <v>391.23001098632813</v>
      </c>
      <c r="E14" s="7">
        <v>391.67001342773438</v>
      </c>
      <c r="F14">
        <v>5268077</v>
      </c>
      <c r="G14" s="7">
        <v>392.40300292968749</v>
      </c>
      <c r="H14" t="s">
        <v>10</v>
      </c>
      <c r="I14" s="6">
        <v>2.0790383975262141E-2</v>
      </c>
      <c r="J14" s="2">
        <v>0.02</v>
      </c>
      <c r="K14" s="7">
        <f t="shared" si="0"/>
        <v>0.56202827535281963</v>
      </c>
      <c r="L14" s="7">
        <v>2.81</v>
      </c>
    </row>
    <row r="15" spans="1:14" x14ac:dyDescent="0.25">
      <c r="A15" s="1">
        <v>46084.854166666657</v>
      </c>
      <c r="B15" s="7">
        <v>392.35000610351563</v>
      </c>
      <c r="C15" s="7">
        <v>393.5</v>
      </c>
      <c r="D15" s="7">
        <v>391.67001342773438</v>
      </c>
      <c r="E15" s="7">
        <v>392.54010009765619</v>
      </c>
      <c r="F15">
        <v>5308335</v>
      </c>
      <c r="G15" s="7">
        <v>392.36500244140632</v>
      </c>
      <c r="H15" t="s">
        <v>10</v>
      </c>
      <c r="I15" s="6">
        <v>2.0369162881715631E-2</v>
      </c>
      <c r="J15" s="2">
        <v>0.02</v>
      </c>
      <c r="K15" s="7">
        <f t="shared" si="0"/>
        <v>0.5578883133586513</v>
      </c>
      <c r="L15" s="7">
        <v>2.81</v>
      </c>
    </row>
    <row r="16" spans="1:14" x14ac:dyDescent="0.25">
      <c r="A16" s="1">
        <v>46085.604166666657</v>
      </c>
      <c r="B16" s="7">
        <v>407.67001342773438</v>
      </c>
      <c r="C16" s="7">
        <v>407.85238647460938</v>
      </c>
      <c r="D16" s="7">
        <v>394.58999633789063</v>
      </c>
      <c r="E16" s="7">
        <v>397.84500122070313</v>
      </c>
      <c r="F16">
        <v>20741277</v>
      </c>
      <c r="G16" s="7">
        <v>395.49900512695308</v>
      </c>
      <c r="H16" t="s">
        <v>12</v>
      </c>
      <c r="I16" s="6">
        <v>5.1810002623411261E-2</v>
      </c>
      <c r="J16" s="2">
        <v>0.02</v>
      </c>
      <c r="K16" s="7">
        <f t="shared" si="0"/>
        <v>6.1082970981318097</v>
      </c>
      <c r="L16" s="7">
        <v>2.81</v>
      </c>
    </row>
    <row r="17" spans="1:12" x14ac:dyDescent="0.25">
      <c r="A17" s="1">
        <v>46085.645833333343</v>
      </c>
      <c r="B17" s="7">
        <v>404.19500732421881</v>
      </c>
      <c r="C17" s="7">
        <v>407.79000854492188</v>
      </c>
      <c r="D17" s="7">
        <v>401.42999267578119</v>
      </c>
      <c r="E17" s="7">
        <v>407.67001342773438</v>
      </c>
      <c r="F17">
        <v>10733226</v>
      </c>
      <c r="G17" s="7">
        <v>397.68000488281251</v>
      </c>
      <c r="H17" t="s">
        <v>12</v>
      </c>
      <c r="I17" s="6">
        <v>3.7125025046836548E-2</v>
      </c>
      <c r="J17" s="2">
        <v>0.02</v>
      </c>
      <c r="K17" s="7">
        <f t="shared" si="0"/>
        <v>6.833936725421994</v>
      </c>
      <c r="L17" s="7">
        <v>2.81</v>
      </c>
    </row>
    <row r="18" spans="1:12" x14ac:dyDescent="0.25">
      <c r="A18" s="1">
        <v>46085.6875</v>
      </c>
      <c r="B18" s="7">
        <v>404.8599853515625</v>
      </c>
      <c r="C18" s="7">
        <v>407.14999389648438</v>
      </c>
      <c r="D18" s="7">
        <v>403.8800048828125</v>
      </c>
      <c r="E18" s="7">
        <v>404.17999267578119</v>
      </c>
      <c r="F18">
        <v>7361876</v>
      </c>
      <c r="G18" s="7">
        <v>400.32499999999999</v>
      </c>
      <c r="H18" t="s">
        <v>12</v>
      </c>
      <c r="I18" s="6">
        <v>3.1967611396257187E-2</v>
      </c>
      <c r="J18" s="2">
        <v>0.02</v>
      </c>
      <c r="K18" s="7">
        <f t="shared" si="0"/>
        <v>6.5351910997374665</v>
      </c>
      <c r="L18" s="7">
        <v>2.81</v>
      </c>
    </row>
    <row r="19" spans="1:12" x14ac:dyDescent="0.25">
      <c r="A19" s="1">
        <v>46085.729166666657</v>
      </c>
      <c r="B19" s="7">
        <v>403.77999877929688</v>
      </c>
      <c r="C19" s="7">
        <v>405.04000854492188</v>
      </c>
      <c r="D19" s="7">
        <v>403.27999877929688</v>
      </c>
      <c r="E19" s="7">
        <v>404.864990234375</v>
      </c>
      <c r="F19">
        <v>6209136</v>
      </c>
      <c r="G19" s="7">
        <v>402.57100219726561</v>
      </c>
      <c r="H19" t="s">
        <v>10</v>
      </c>
      <c r="I19" s="6">
        <v>2.3472641270257E-2</v>
      </c>
      <c r="J19" s="2">
        <v>0.02</v>
      </c>
      <c r="K19" s="7">
        <f t="shared" si="0"/>
        <v>5.2878575235209873</v>
      </c>
      <c r="L19" s="7">
        <v>2.81</v>
      </c>
    </row>
    <row r="20" spans="1:12" x14ac:dyDescent="0.25">
      <c r="A20" s="1">
        <v>46085.770833333343</v>
      </c>
      <c r="B20" s="7">
        <v>406.32501220703119</v>
      </c>
      <c r="C20" s="7">
        <v>406.83999633789063</v>
      </c>
      <c r="D20" s="7">
        <v>403.72000122070313</v>
      </c>
      <c r="E20" s="7">
        <v>403.77999877929688</v>
      </c>
      <c r="F20">
        <v>5290009</v>
      </c>
      <c r="G20" s="7">
        <v>405.36600341796873</v>
      </c>
      <c r="H20" t="s">
        <v>10</v>
      </c>
      <c r="I20" s="6">
        <v>2.282222953813462E-2</v>
      </c>
      <c r="J20" s="2">
        <v>0.02</v>
      </c>
      <c r="K20" s="7">
        <f t="shared" si="0"/>
        <v>1.4401983774185458</v>
      </c>
      <c r="L20" s="7">
        <v>2.81</v>
      </c>
    </row>
    <row r="21" spans="1:12" x14ac:dyDescent="0.25">
      <c r="A21" s="1">
        <v>46085.8125</v>
      </c>
      <c r="B21" s="7">
        <v>406.95001220703119</v>
      </c>
      <c r="C21" s="7">
        <v>407.3800048828125</v>
      </c>
      <c r="D21" s="7">
        <v>404.85000610351563</v>
      </c>
      <c r="E21" s="7">
        <v>406.32998657226563</v>
      </c>
      <c r="F21">
        <v>5657840</v>
      </c>
      <c r="G21" s="7">
        <v>405.22200317382811</v>
      </c>
      <c r="H21" t="s">
        <v>10</v>
      </c>
      <c r="I21" s="6">
        <v>2.4759542286845241E-2</v>
      </c>
      <c r="J21" s="2">
        <v>0.02</v>
      </c>
      <c r="K21" s="7">
        <f t="shared" si="0"/>
        <v>1.222112777018481</v>
      </c>
      <c r="L21" s="7">
        <v>2.81</v>
      </c>
    </row>
    <row r="22" spans="1:12" x14ac:dyDescent="0.25">
      <c r="A22" s="1">
        <v>46085.854166666657</v>
      </c>
      <c r="B22" s="7">
        <v>406.07000732421881</v>
      </c>
      <c r="C22" s="7">
        <v>408.32998657226563</v>
      </c>
      <c r="D22" s="7">
        <v>404.75</v>
      </c>
      <c r="E22" s="7">
        <v>406.95001220703119</v>
      </c>
      <c r="F22">
        <v>6921220</v>
      </c>
      <c r="G22" s="7">
        <v>405.59700317382811</v>
      </c>
      <c r="H22" t="s">
        <v>10</v>
      </c>
      <c r="I22" s="6">
        <v>2.159815552989432E-2</v>
      </c>
      <c r="J22" s="2">
        <v>0.02</v>
      </c>
      <c r="K22" s="7">
        <f t="shared" si="0"/>
        <v>1.1339368379873913</v>
      </c>
      <c r="L22" s="7">
        <v>2.81</v>
      </c>
    </row>
    <row r="23" spans="1:12" x14ac:dyDescent="0.25">
      <c r="A23" s="1">
        <v>46086.604166666657</v>
      </c>
      <c r="B23" s="7">
        <v>403.6400146484375</v>
      </c>
      <c r="C23" s="7">
        <v>407.3800048828125</v>
      </c>
      <c r="D23" s="7">
        <v>400.29998779296881</v>
      </c>
      <c r="E23" s="7">
        <v>401.57000732421881</v>
      </c>
      <c r="F23">
        <v>12709534</v>
      </c>
      <c r="G23" s="7">
        <v>405.35300903320308</v>
      </c>
      <c r="H23" t="s">
        <v>11</v>
      </c>
      <c r="I23" s="6">
        <v>1.6095987421314031E-2</v>
      </c>
      <c r="J23" s="2">
        <v>0.02</v>
      </c>
      <c r="K23" s="7">
        <f t="shared" si="0"/>
        <v>1.3724435782647633</v>
      </c>
      <c r="L23" s="7">
        <v>2.81</v>
      </c>
    </row>
    <row r="24" spans="1:12" x14ac:dyDescent="0.25">
      <c r="A24" s="1">
        <v>46086.645833333343</v>
      </c>
      <c r="B24" s="7">
        <v>405.41531372070313</v>
      </c>
      <c r="C24" s="7">
        <v>407.05999755859381</v>
      </c>
      <c r="D24" s="7">
        <v>401.76998901367188</v>
      </c>
      <c r="E24" s="7">
        <v>403.67001342773438</v>
      </c>
      <c r="F24">
        <v>8003266</v>
      </c>
      <c r="G24" s="7">
        <v>405.68007202148442</v>
      </c>
      <c r="H24" t="s">
        <v>11</v>
      </c>
      <c r="I24" s="6">
        <v>1.974221600774622E-2</v>
      </c>
      <c r="J24" s="2">
        <v>0.02</v>
      </c>
      <c r="K24" s="7">
        <f t="shared" si="0"/>
        <v>1.1324907506265944</v>
      </c>
      <c r="L24" s="7">
        <v>2.81</v>
      </c>
    </row>
    <row r="25" spans="1:12" x14ac:dyDescent="0.25">
      <c r="A25" s="1">
        <v>46086.6875</v>
      </c>
      <c r="B25" s="7">
        <v>403.15008544921881</v>
      </c>
      <c r="C25" s="7">
        <v>408.61990356445313</v>
      </c>
      <c r="D25" s="7">
        <v>403.04998779296881</v>
      </c>
      <c r="E25" s="7">
        <v>405.45999145507813</v>
      </c>
      <c r="F25">
        <v>6229475</v>
      </c>
      <c r="G25" s="7">
        <v>405.04508666992189</v>
      </c>
      <c r="H25" t="s">
        <v>11</v>
      </c>
      <c r="I25" s="6">
        <v>1.5634189259348241E-2</v>
      </c>
      <c r="J25" s="2">
        <v>0.02</v>
      </c>
      <c r="K25" s="7">
        <f t="shared" si="0"/>
        <v>1.4409391889104941</v>
      </c>
      <c r="L25" s="7">
        <v>2.81</v>
      </c>
    </row>
    <row r="26" spans="1:12" x14ac:dyDescent="0.25">
      <c r="A26" s="1">
        <v>46086.729166666657</v>
      </c>
      <c r="B26" s="7">
        <v>399.73001098632813</v>
      </c>
      <c r="C26" s="7">
        <v>403.42999267578119</v>
      </c>
      <c r="D26" s="7">
        <v>399.42001342773438</v>
      </c>
      <c r="E26" s="7">
        <v>403.17001342773438</v>
      </c>
      <c r="F26">
        <v>6761936</v>
      </c>
      <c r="G26" s="7">
        <v>403.60108642578132</v>
      </c>
      <c r="H26" t="s">
        <v>11</v>
      </c>
      <c r="I26" s="6">
        <v>1.062108113920234E-2</v>
      </c>
      <c r="J26" s="2">
        <v>0.02</v>
      </c>
      <c r="K26" s="7">
        <f t="shared" si="0"/>
        <v>2.2170761568199642</v>
      </c>
      <c r="L26" s="7">
        <v>2.81</v>
      </c>
    </row>
    <row r="27" spans="1:12" x14ac:dyDescent="0.25">
      <c r="A27" s="1">
        <v>46086.770833333343</v>
      </c>
      <c r="B27" s="7">
        <v>401.75</v>
      </c>
      <c r="C27" s="7">
        <v>402.77999877929688</v>
      </c>
      <c r="D27" s="7">
        <v>399.55999755859381</v>
      </c>
      <c r="E27" s="7">
        <v>399.70001220703119</v>
      </c>
      <c r="F27">
        <v>4565821</v>
      </c>
      <c r="G27" s="7">
        <v>402.73708496093752</v>
      </c>
      <c r="H27" t="s">
        <v>11</v>
      </c>
      <c r="I27" s="6">
        <v>1.7907202738974799E-2</v>
      </c>
      <c r="J27" s="2">
        <v>0.02</v>
      </c>
      <c r="K27" s="7">
        <f t="shared" si="0"/>
        <v>1.9065986112659985</v>
      </c>
      <c r="L27" s="7">
        <v>2.81</v>
      </c>
    </row>
    <row r="28" spans="1:12" x14ac:dyDescent="0.25">
      <c r="A28" s="1">
        <v>46086.8125</v>
      </c>
      <c r="B28" s="7">
        <v>402.79000854492188</v>
      </c>
      <c r="C28" s="7">
        <v>404.3800048828125</v>
      </c>
      <c r="D28" s="7">
        <v>399.760009765625</v>
      </c>
      <c r="E28" s="7">
        <v>401.70001220703119</v>
      </c>
      <c r="F28">
        <v>5510901</v>
      </c>
      <c r="G28" s="7">
        <v>402.56708374023441</v>
      </c>
      <c r="H28" t="s">
        <v>10</v>
      </c>
      <c r="I28" s="6">
        <v>2.097322260494219E-2</v>
      </c>
      <c r="J28" s="2">
        <v>0.02</v>
      </c>
      <c r="K28" s="7">
        <f t="shared" si="0"/>
        <v>1.8557267111499656</v>
      </c>
      <c r="L28" s="7">
        <v>2.81</v>
      </c>
    </row>
    <row r="29" spans="1:12" x14ac:dyDescent="0.25">
      <c r="A29" s="1">
        <v>46086.854166666657</v>
      </c>
      <c r="B29" s="7">
        <v>405.40130615234381</v>
      </c>
      <c r="C29" s="7">
        <v>405.8900146484375</v>
      </c>
      <c r="D29" s="7">
        <v>402.57000732421881</v>
      </c>
      <c r="E29" s="7">
        <v>402.76998901367188</v>
      </c>
      <c r="F29">
        <v>4836899</v>
      </c>
      <c r="G29" s="7">
        <v>402.56428222656251</v>
      </c>
      <c r="H29" t="s">
        <v>10</v>
      </c>
      <c r="I29" s="6">
        <v>2.7599368499000781E-2</v>
      </c>
      <c r="J29" s="2">
        <v>0.02</v>
      </c>
      <c r="K29" s="7">
        <f t="shared" si="0"/>
        <v>1.8514303416356477</v>
      </c>
      <c r="L29" s="7">
        <v>2.81</v>
      </c>
    </row>
    <row r="30" spans="1:12" x14ac:dyDescent="0.25">
      <c r="A30" s="1">
        <v>46087.604166666657</v>
      </c>
      <c r="B30" s="7">
        <v>397.30999755859381</v>
      </c>
      <c r="C30" s="7">
        <v>398.5</v>
      </c>
      <c r="D30" s="7">
        <v>394.22000122070313</v>
      </c>
      <c r="E30" s="7">
        <v>398.18499755859381</v>
      </c>
      <c r="F30">
        <v>16938293</v>
      </c>
      <c r="G30" s="7">
        <v>401.39626464843752</v>
      </c>
      <c r="H30" t="s">
        <v>11</v>
      </c>
      <c r="I30" s="6">
        <v>1.002027313530965E-2</v>
      </c>
      <c r="J30" s="2">
        <v>0.02</v>
      </c>
      <c r="K30" s="7">
        <f t="shared" si="0"/>
        <v>2.7416049384248318</v>
      </c>
      <c r="L30" s="7">
        <v>2.81</v>
      </c>
    </row>
    <row r="31" spans="1:12" x14ac:dyDescent="0.25">
      <c r="A31" s="1">
        <v>46087.645833333343</v>
      </c>
      <c r="B31" s="7">
        <v>399.6199951171875</v>
      </c>
      <c r="C31" s="7">
        <v>399.95498657226563</v>
      </c>
      <c r="D31" s="7">
        <v>395.41000366210938</v>
      </c>
      <c r="E31" s="7">
        <v>397.26998901367188</v>
      </c>
      <c r="F31">
        <v>10989461</v>
      </c>
      <c r="G31" s="7">
        <v>401.3742614746094</v>
      </c>
      <c r="H31" t="s">
        <v>11</v>
      </c>
      <c r="I31" s="6">
        <v>1.5948316475234259E-2</v>
      </c>
      <c r="J31" s="2">
        <v>0.02</v>
      </c>
      <c r="K31" s="7">
        <f t="shared" si="0"/>
        <v>2.755296705432603</v>
      </c>
      <c r="L31" s="7">
        <v>2.81</v>
      </c>
    </row>
    <row r="32" spans="1:12" x14ac:dyDescent="0.25">
      <c r="A32" s="1">
        <v>46087.6875</v>
      </c>
      <c r="B32" s="7">
        <v>398.8599853515625</v>
      </c>
      <c r="C32" s="7">
        <v>401.41000366210938</v>
      </c>
      <c r="D32" s="7">
        <v>397.71099853515619</v>
      </c>
      <c r="E32" s="7">
        <v>399.6300048828125</v>
      </c>
      <c r="F32">
        <v>8265638</v>
      </c>
      <c r="G32" s="7">
        <v>400.7962585449219</v>
      </c>
      <c r="H32" t="s">
        <v>11</v>
      </c>
      <c r="I32" s="6">
        <v>1.547850404146826E-2</v>
      </c>
      <c r="J32" s="2">
        <v>0.02</v>
      </c>
      <c r="K32" s="7">
        <f t="shared" si="0"/>
        <v>2.9143873361193138</v>
      </c>
      <c r="L32" s="7">
        <v>2.81</v>
      </c>
    </row>
    <row r="33" spans="1:12" x14ac:dyDescent="0.25">
      <c r="A33" s="1">
        <v>46087.729166666657</v>
      </c>
      <c r="B33" s="7">
        <v>401.17001342773438</v>
      </c>
      <c r="C33" s="7">
        <v>402.35000610351563</v>
      </c>
      <c r="D33" s="7">
        <v>397.14999389648438</v>
      </c>
      <c r="E33" s="7">
        <v>398.91000366210938</v>
      </c>
      <c r="F33">
        <v>6641166</v>
      </c>
      <c r="G33" s="7">
        <v>400.47225952148438</v>
      </c>
      <c r="H33" t="s">
        <v>10</v>
      </c>
      <c r="I33" s="6">
        <v>2.218604866175905E-2</v>
      </c>
      <c r="J33" s="2">
        <v>0.02</v>
      </c>
      <c r="K33" s="7">
        <f t="shared" si="0"/>
        <v>2.7607261558744698</v>
      </c>
      <c r="L33" s="7">
        <v>2.81</v>
      </c>
    </row>
    <row r="34" spans="1:12" x14ac:dyDescent="0.25">
      <c r="A34" s="1">
        <v>46087.770833333343</v>
      </c>
      <c r="B34" s="7">
        <v>399.30999755859381</v>
      </c>
      <c r="C34" s="7">
        <v>401.75</v>
      </c>
      <c r="D34" s="7">
        <v>398.29998779296881</v>
      </c>
      <c r="E34" s="7">
        <v>401.16500854492188</v>
      </c>
      <c r="F34">
        <v>5725425</v>
      </c>
      <c r="G34" s="7">
        <v>399.25399780273438</v>
      </c>
      <c r="H34" t="s">
        <v>10</v>
      </c>
      <c r="I34" s="6">
        <v>2.0551286711368629E-2</v>
      </c>
      <c r="J34" s="2">
        <v>0.02</v>
      </c>
      <c r="K34" s="7">
        <f t="shared" si="0"/>
        <v>1.2443945228892976</v>
      </c>
      <c r="L34" s="7">
        <v>2.81</v>
      </c>
    </row>
    <row r="35" spans="1:12" x14ac:dyDescent="0.25">
      <c r="A35" s="1">
        <v>46087.8125</v>
      </c>
      <c r="B35" s="7">
        <v>396.72000122070313</v>
      </c>
      <c r="C35" s="7">
        <v>400.82998657226563</v>
      </c>
      <c r="D35" s="7">
        <v>396.5</v>
      </c>
      <c r="E35" s="7">
        <v>399.30999755859381</v>
      </c>
      <c r="F35">
        <v>5982618</v>
      </c>
      <c r="G35" s="7">
        <v>399.13599853515632</v>
      </c>
      <c r="H35" t="s">
        <v>11</v>
      </c>
      <c r="I35" s="6">
        <v>1.4231563331592411E-2</v>
      </c>
      <c r="J35" s="2">
        <v>0.02</v>
      </c>
      <c r="K35" s="7">
        <f t="shared" si="0"/>
        <v>1.4363127260988133</v>
      </c>
      <c r="L35" s="7">
        <v>2.81</v>
      </c>
    </row>
    <row r="36" spans="1:12" x14ac:dyDescent="0.25">
      <c r="A36" s="1">
        <v>46087.854166666657</v>
      </c>
      <c r="B36" s="7">
        <v>396.55999755859381</v>
      </c>
      <c r="C36" s="7">
        <v>398.20001220703119</v>
      </c>
      <c r="D36" s="7">
        <v>396.20001220703119</v>
      </c>
      <c r="E36" s="7">
        <v>396.73001098632813</v>
      </c>
      <c r="F36">
        <v>5246449</v>
      </c>
      <c r="G36" s="7">
        <v>398.52399902343751</v>
      </c>
      <c r="H36" t="s">
        <v>11</v>
      </c>
      <c r="I36" s="6">
        <v>1.5379399295501381E-2</v>
      </c>
      <c r="J36" s="2">
        <v>0.02</v>
      </c>
      <c r="K36" s="7">
        <f t="shared" si="0"/>
        <v>1.7230079839559627</v>
      </c>
      <c r="L36" s="7">
        <v>2.81</v>
      </c>
    </row>
  </sheetData>
  <conditionalFormatting sqref="H1:H1048576">
    <cfRule type="containsText" dxfId="8" priority="1" operator="containsText" text="moderate">
      <formula>NOT(ISERROR(SEARCH("moderate",H1)))</formula>
    </cfRule>
    <cfRule type="containsText" dxfId="7" priority="2" operator="containsText" text="low">
      <formula>NOT(ISERROR(SEARCH("low",H1)))</formula>
    </cfRule>
    <cfRule type="containsText" dxfId="6" priority="3" operator="containsText" text="high">
      <formula>NOT(ISERROR(SEARCH("high",H1)))</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3144-EE26-4C2A-A512-F863257F46FA}">
  <dimension ref="A3:C25"/>
  <sheetViews>
    <sheetView topLeftCell="A2" workbookViewId="0">
      <selection activeCell="E50" sqref="E50"/>
    </sheetView>
  </sheetViews>
  <sheetFormatPr defaultRowHeight="13.5" x14ac:dyDescent="0.25"/>
  <cols>
    <col min="1" max="1" width="12.83203125" customWidth="1"/>
    <col min="2" max="2" width="18.33203125" customWidth="1"/>
    <col min="3" max="3" width="23.83203125" customWidth="1"/>
  </cols>
  <sheetData>
    <row r="3" spans="1:3" x14ac:dyDescent="0.25">
      <c r="A3" s="8" t="s">
        <v>15</v>
      </c>
      <c r="B3" t="s">
        <v>22</v>
      </c>
      <c r="C3" t="s">
        <v>24</v>
      </c>
    </row>
    <row r="4" spans="1:3" x14ac:dyDescent="0.25">
      <c r="A4" s="9" t="s">
        <v>17</v>
      </c>
      <c r="B4" s="12">
        <v>9.1175233211578301E-3</v>
      </c>
      <c r="C4">
        <v>0.02</v>
      </c>
    </row>
    <row r="5" spans="1:3" x14ac:dyDescent="0.25">
      <c r="A5" s="9" t="s">
        <v>18</v>
      </c>
      <c r="B5" s="12">
        <v>1.3442945154973591E-2</v>
      </c>
      <c r="C5">
        <v>0.02</v>
      </c>
    </row>
    <row r="6" spans="1:3" x14ac:dyDescent="0.25">
      <c r="A6" s="9" t="s">
        <v>19</v>
      </c>
      <c r="B6" s="12">
        <v>3.0507886813090884E-2</v>
      </c>
      <c r="C6">
        <v>0.02</v>
      </c>
    </row>
    <row r="7" spans="1:3" x14ac:dyDescent="0.25">
      <c r="A7" s="9" t="s">
        <v>20</v>
      </c>
      <c r="B7" s="12">
        <v>1.8367609667218371E-2</v>
      </c>
      <c r="C7">
        <v>0.02</v>
      </c>
    </row>
    <row r="8" spans="1:3" x14ac:dyDescent="0.25">
      <c r="A8" s="9" t="s">
        <v>21</v>
      </c>
      <c r="B8" s="12">
        <v>1.6256484521747664E-2</v>
      </c>
      <c r="C8">
        <v>0.02</v>
      </c>
    </row>
    <row r="9" spans="1:3" x14ac:dyDescent="0.25">
      <c r="A9" s="9" t="s">
        <v>16</v>
      </c>
      <c r="B9" s="12">
        <v>1.7538489895637666E-2</v>
      </c>
      <c r="C9">
        <v>2.0000000000000007E-2</v>
      </c>
    </row>
    <row r="19" spans="1:3" x14ac:dyDescent="0.25">
      <c r="A19" s="8" t="s">
        <v>15</v>
      </c>
      <c r="B19" t="s">
        <v>26</v>
      </c>
      <c r="C19" t="s">
        <v>27</v>
      </c>
    </row>
    <row r="20" spans="1:3" x14ac:dyDescent="0.25">
      <c r="A20" s="9" t="s">
        <v>17</v>
      </c>
      <c r="B20" s="7">
        <v>1.3534236395014512</v>
      </c>
      <c r="C20">
        <v>2.81</v>
      </c>
    </row>
    <row r="21" spans="1:3" x14ac:dyDescent="0.25">
      <c r="A21" s="9" t="s">
        <v>18</v>
      </c>
      <c r="B21" s="7">
        <v>3.8867373756152901</v>
      </c>
      <c r="C21">
        <v>2.8099999999999996</v>
      </c>
    </row>
    <row r="22" spans="1:3" x14ac:dyDescent="0.25">
      <c r="A22" s="9" t="s">
        <v>19</v>
      </c>
      <c r="B22" s="7">
        <v>4.080218634176668</v>
      </c>
      <c r="C22">
        <v>2.8099999999999996</v>
      </c>
    </row>
    <row r="23" spans="1:3" x14ac:dyDescent="0.25">
      <c r="A23" s="9" t="s">
        <v>20</v>
      </c>
      <c r="B23" s="7">
        <v>1.682386476953347</v>
      </c>
      <c r="C23">
        <v>2.8099999999999996</v>
      </c>
    </row>
    <row r="24" spans="1:3" x14ac:dyDescent="0.25">
      <c r="A24" s="9" t="s">
        <v>21</v>
      </c>
      <c r="B24" s="7">
        <v>2.2251043383993276</v>
      </c>
      <c r="C24">
        <v>2.8099999999999996</v>
      </c>
    </row>
    <row r="25" spans="1:3" x14ac:dyDescent="0.25">
      <c r="A25" s="9" t="s">
        <v>16</v>
      </c>
      <c r="B25" s="7">
        <v>2.8123031836940897</v>
      </c>
      <c r="C25">
        <v>2.8100000000000009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C939-9ECB-4C7B-A710-86FD4389E6D5}">
  <dimension ref="A1:J169"/>
  <sheetViews>
    <sheetView tabSelected="1" topLeftCell="A153" workbookViewId="0">
      <selection activeCell="A2" sqref="A2:A169"/>
    </sheetView>
  </sheetViews>
  <sheetFormatPr defaultRowHeight="13.5" x14ac:dyDescent="0.25"/>
  <cols>
    <col min="1" max="1" width="17.75" customWidth="1"/>
  </cols>
  <sheetData>
    <row r="1" spans="1:10" x14ac:dyDescent="0.25">
      <c r="A1" t="s">
        <v>0</v>
      </c>
      <c r="B1" t="s">
        <v>1</v>
      </c>
      <c r="C1" t="s">
        <v>2</v>
      </c>
      <c r="D1" t="s">
        <v>3</v>
      </c>
      <c r="E1" t="s">
        <v>4</v>
      </c>
      <c r="F1" t="s">
        <v>5</v>
      </c>
      <c r="G1" t="s">
        <v>6</v>
      </c>
      <c r="H1" t="s">
        <v>7</v>
      </c>
      <c r="I1" t="s">
        <v>8</v>
      </c>
      <c r="J1" t="s">
        <v>29</v>
      </c>
    </row>
    <row r="2" spans="1:10" x14ac:dyDescent="0.25">
      <c r="A2" s="1">
        <v>46062.604166666657</v>
      </c>
      <c r="B2" s="7">
        <v>412.96499633789063</v>
      </c>
      <c r="C2" s="7">
        <v>415.32998657226563</v>
      </c>
      <c r="D2" s="7">
        <v>407.29000854492188</v>
      </c>
      <c r="E2" s="7">
        <v>409.90499877929688</v>
      </c>
      <c r="F2">
        <v>10662546</v>
      </c>
      <c r="H2" t="s">
        <v>9</v>
      </c>
      <c r="I2">
        <v>0</v>
      </c>
      <c r="J2" t="s">
        <v>30</v>
      </c>
    </row>
    <row r="3" spans="1:10" x14ac:dyDescent="0.25">
      <c r="A3" s="1">
        <v>46062.645833333343</v>
      </c>
      <c r="B3" s="7">
        <v>418.66500854492188</v>
      </c>
      <c r="C3" s="7">
        <v>419.42999267578119</v>
      </c>
      <c r="D3" s="7">
        <v>412.70001220703119</v>
      </c>
      <c r="E3" s="7">
        <v>412.96499633789063</v>
      </c>
      <c r="F3">
        <v>6843367</v>
      </c>
      <c r="H3" t="s">
        <v>9</v>
      </c>
      <c r="I3">
        <v>0</v>
      </c>
      <c r="J3" t="s">
        <v>30</v>
      </c>
    </row>
    <row r="4" spans="1:10" x14ac:dyDescent="0.25">
      <c r="A4" s="1">
        <v>46062.6875</v>
      </c>
      <c r="B4" s="7">
        <v>420.52999877929688</v>
      </c>
      <c r="C4" s="7">
        <v>421.25</v>
      </c>
      <c r="D4" s="7">
        <v>417.97000122070313</v>
      </c>
      <c r="E4" s="7">
        <v>418.6199951171875</v>
      </c>
      <c r="F4">
        <v>5284227</v>
      </c>
      <c r="H4" t="s">
        <v>9</v>
      </c>
      <c r="I4">
        <v>0</v>
      </c>
      <c r="J4" t="s">
        <v>30</v>
      </c>
    </row>
    <row r="5" spans="1:10" x14ac:dyDescent="0.25">
      <c r="A5" s="1">
        <v>46062.729166666657</v>
      </c>
      <c r="B5" s="7">
        <v>418.34991455078119</v>
      </c>
      <c r="C5" s="7">
        <v>421.20989990234381</v>
      </c>
      <c r="D5" s="7">
        <v>417.70001220703119</v>
      </c>
      <c r="E5" s="7">
        <v>420.54998779296881</v>
      </c>
      <c r="F5">
        <v>3548082</v>
      </c>
      <c r="H5" t="s">
        <v>9</v>
      </c>
      <c r="I5">
        <v>0</v>
      </c>
      <c r="J5" t="s">
        <v>30</v>
      </c>
    </row>
    <row r="6" spans="1:10" x14ac:dyDescent="0.25">
      <c r="A6" s="1">
        <v>46062.770833333343</v>
      </c>
      <c r="B6" s="7">
        <v>420.16970825195313</v>
      </c>
      <c r="C6" s="7">
        <v>420.66000366210938</v>
      </c>
      <c r="D6" s="7">
        <v>417.70999145507813</v>
      </c>
      <c r="E6" s="7">
        <v>418.30230712890619</v>
      </c>
      <c r="F6">
        <v>3393895</v>
      </c>
      <c r="G6" s="7">
        <v>418.13592529296881</v>
      </c>
      <c r="H6" t="s">
        <v>10</v>
      </c>
      <c r="I6" s="13">
        <v>2.5371354916928691E-2</v>
      </c>
      <c r="J6" t="s">
        <v>30</v>
      </c>
    </row>
    <row r="7" spans="1:10" x14ac:dyDescent="0.25">
      <c r="A7" s="1">
        <v>46062.8125</v>
      </c>
      <c r="B7" s="7">
        <v>420.1199951171875</v>
      </c>
      <c r="C7" s="7">
        <v>420.89999389648438</v>
      </c>
      <c r="D7" s="7">
        <v>419.40701293945313</v>
      </c>
      <c r="E7" s="7">
        <v>420.19000244140619</v>
      </c>
      <c r="F7">
        <v>3389590</v>
      </c>
      <c r="G7" s="7">
        <v>419.56692504882813</v>
      </c>
      <c r="H7" t="s">
        <v>10</v>
      </c>
      <c r="I7" s="13">
        <v>2.1753257882919159E-2</v>
      </c>
      <c r="J7" t="s">
        <v>30</v>
      </c>
    </row>
    <row r="8" spans="1:10" x14ac:dyDescent="0.25">
      <c r="A8" s="1">
        <v>46062.854166666657</v>
      </c>
      <c r="B8" s="7">
        <v>417.16000366210938</v>
      </c>
      <c r="C8" s="7">
        <v>420.42001342773438</v>
      </c>
      <c r="D8" s="7">
        <v>417.13009643554688</v>
      </c>
      <c r="E8" s="7">
        <v>420.07998657226563</v>
      </c>
      <c r="F8">
        <v>3183939</v>
      </c>
      <c r="G8" s="7">
        <v>419.26592407226559</v>
      </c>
      <c r="H8" t="s">
        <v>11</v>
      </c>
      <c r="I8" s="13">
        <v>1.528278041320465E-2</v>
      </c>
      <c r="J8" t="s">
        <v>30</v>
      </c>
    </row>
    <row r="9" spans="1:10" x14ac:dyDescent="0.25">
      <c r="A9" s="1">
        <v>46063.604166666657</v>
      </c>
      <c r="B9" s="7">
        <v>423.34161376953119</v>
      </c>
      <c r="C9" s="7">
        <v>425.45999145507813</v>
      </c>
      <c r="D9" s="7">
        <v>417</v>
      </c>
      <c r="E9" s="7">
        <v>418.08999633789063</v>
      </c>
      <c r="F9">
        <v>10943175</v>
      </c>
      <c r="G9" s="7">
        <v>419.8282470703125</v>
      </c>
      <c r="H9" t="s">
        <v>10</v>
      </c>
      <c r="I9" s="13">
        <v>2.8947531650937618E-2</v>
      </c>
      <c r="J9" t="s">
        <v>30</v>
      </c>
    </row>
    <row r="10" spans="1:10" x14ac:dyDescent="0.25">
      <c r="A10" s="1">
        <v>46063.645833333343</v>
      </c>
      <c r="B10" s="7">
        <v>421.7349853515625</v>
      </c>
      <c r="C10" s="7">
        <v>425.42001342773438</v>
      </c>
      <c r="D10" s="7">
        <v>420.71270751953119</v>
      </c>
      <c r="E10" s="7">
        <v>423.33999633789063</v>
      </c>
      <c r="F10">
        <v>6615508</v>
      </c>
      <c r="G10" s="7">
        <v>420.50526123046882</v>
      </c>
      <c r="H10" t="s">
        <v>10</v>
      </c>
      <c r="I10" s="13">
        <v>2.3392241343322271E-2</v>
      </c>
      <c r="J10" t="s">
        <v>30</v>
      </c>
    </row>
    <row r="11" spans="1:10" x14ac:dyDescent="0.25">
      <c r="A11" s="1">
        <v>46063.6875</v>
      </c>
      <c r="B11" s="7">
        <v>424.93499755859381</v>
      </c>
      <c r="C11" s="7">
        <v>427.25</v>
      </c>
      <c r="D11" s="7">
        <v>421.05999755859381</v>
      </c>
      <c r="E11" s="7">
        <v>421.70999145507813</v>
      </c>
      <c r="F11">
        <v>6045525</v>
      </c>
      <c r="G11" s="7">
        <v>421.45831909179691</v>
      </c>
      <c r="H11" t="s">
        <v>10</v>
      </c>
      <c r="I11" s="13">
        <v>2.882567676038458E-2</v>
      </c>
      <c r="J11" t="s">
        <v>30</v>
      </c>
    </row>
    <row r="12" spans="1:10" x14ac:dyDescent="0.25">
      <c r="A12" s="1">
        <v>46063.729166666657</v>
      </c>
      <c r="B12" s="7">
        <v>423.32000732421881</v>
      </c>
      <c r="C12" s="7">
        <v>426.114990234375</v>
      </c>
      <c r="D12" s="7">
        <v>423.14999389648438</v>
      </c>
      <c r="E12" s="7">
        <v>424.8800048828125</v>
      </c>
      <c r="F12">
        <v>4257452</v>
      </c>
      <c r="G12" s="7">
        <v>422.09832153320309</v>
      </c>
      <c r="H12" t="s">
        <v>10</v>
      </c>
      <c r="I12" s="13">
        <v>2.3361546613454569E-2</v>
      </c>
      <c r="J12" t="s">
        <v>30</v>
      </c>
    </row>
    <row r="13" spans="1:10" x14ac:dyDescent="0.25">
      <c r="A13" s="1">
        <v>46063.770833333343</v>
      </c>
      <c r="B13" s="7">
        <v>425.03988647460938</v>
      </c>
      <c r="C13" s="7">
        <v>425.10000610351563</v>
      </c>
      <c r="D13" s="7">
        <v>422.35009765625</v>
      </c>
      <c r="E13" s="7">
        <v>423.29000854492188</v>
      </c>
      <c r="F13">
        <v>3627992</v>
      </c>
      <c r="G13" s="7">
        <v>423.67429809570308</v>
      </c>
      <c r="H13" t="s">
        <v>10</v>
      </c>
      <c r="I13" s="13">
        <v>2.3697146183928739E-2</v>
      </c>
      <c r="J13" t="s">
        <v>30</v>
      </c>
    </row>
    <row r="14" spans="1:10" x14ac:dyDescent="0.25">
      <c r="A14" s="1">
        <v>46063.8125</v>
      </c>
      <c r="B14" s="7">
        <v>424.45001220703119</v>
      </c>
      <c r="C14" s="7">
        <v>426.3699951171875</v>
      </c>
      <c r="D14" s="7">
        <v>423.66000366210938</v>
      </c>
      <c r="E14" s="7">
        <v>425.05999755859381</v>
      </c>
      <c r="F14">
        <v>3877717</v>
      </c>
      <c r="G14" s="7">
        <v>423.89597778320308</v>
      </c>
      <c r="H14" t="s">
        <v>10</v>
      </c>
      <c r="I14" s="13">
        <v>2.1741842465945641E-2</v>
      </c>
      <c r="J14" t="s">
        <v>30</v>
      </c>
    </row>
    <row r="15" spans="1:10" x14ac:dyDescent="0.25">
      <c r="A15" s="1">
        <v>46063.854166666657</v>
      </c>
      <c r="B15" s="7">
        <v>425.22000122070313</v>
      </c>
      <c r="C15" s="7">
        <v>427.20001220703119</v>
      </c>
      <c r="D15" s="7">
        <v>423.81698608398438</v>
      </c>
      <c r="E15" s="7">
        <v>424.41000366210938</v>
      </c>
      <c r="F15">
        <v>4465243</v>
      </c>
      <c r="G15" s="7">
        <v>424.59298095703127</v>
      </c>
      <c r="H15" t="s">
        <v>10</v>
      </c>
      <c r="I15" s="13">
        <v>2.1915057218525529E-2</v>
      </c>
      <c r="J15" t="s">
        <v>30</v>
      </c>
    </row>
    <row r="16" spans="1:10" x14ac:dyDescent="0.25">
      <c r="A16" s="1">
        <v>46064.604166666657</v>
      </c>
      <c r="B16" s="7">
        <v>421.72000122070313</v>
      </c>
      <c r="C16" s="7">
        <v>436.35000610351563</v>
      </c>
      <c r="D16" s="7">
        <v>421.54998779296881</v>
      </c>
      <c r="E16" s="7">
        <v>427.95498657226563</v>
      </c>
      <c r="F16">
        <v>14480611</v>
      </c>
      <c r="G16" s="7">
        <v>423.94998168945313</v>
      </c>
      <c r="H16" t="s">
        <v>11</v>
      </c>
      <c r="I16" s="13">
        <v>1.504080774575446E-2</v>
      </c>
      <c r="J16" t="s">
        <v>30</v>
      </c>
    </row>
    <row r="17" spans="1:10" x14ac:dyDescent="0.25">
      <c r="A17" s="1">
        <v>46064.645833333343</v>
      </c>
      <c r="B17" s="7">
        <v>426.40499877929688</v>
      </c>
      <c r="C17" s="7">
        <v>427.06939697265619</v>
      </c>
      <c r="D17" s="7">
        <v>420.02999877929688</v>
      </c>
      <c r="E17" s="7">
        <v>421.68231201171881</v>
      </c>
      <c r="F17">
        <v>7864759</v>
      </c>
      <c r="G17" s="7">
        <v>424.56697998046877</v>
      </c>
      <c r="H17" t="s">
        <v>10</v>
      </c>
      <c r="I17" s="13">
        <v>2.482567445905361E-2</v>
      </c>
      <c r="J17" t="s">
        <v>30</v>
      </c>
    </row>
    <row r="18" spans="1:10" x14ac:dyDescent="0.25">
      <c r="A18" s="1">
        <v>46064.6875</v>
      </c>
      <c r="B18" s="7">
        <v>424.7598876953125</v>
      </c>
      <c r="C18" s="7">
        <v>426.67001342773438</v>
      </c>
      <c r="D18" s="7">
        <v>422.05999755859381</v>
      </c>
      <c r="E18" s="7">
        <v>426.41000366210938</v>
      </c>
      <c r="F18">
        <v>5055253</v>
      </c>
      <c r="G18" s="7">
        <v>424.5109802246094</v>
      </c>
      <c r="H18" t="s">
        <v>10</v>
      </c>
      <c r="I18" s="13">
        <v>2.1006468672786521E-2</v>
      </c>
      <c r="J18" t="s">
        <v>30</v>
      </c>
    </row>
    <row r="19" spans="1:10" x14ac:dyDescent="0.25">
      <c r="A19" s="1">
        <v>46064.729166666657</v>
      </c>
      <c r="B19" s="7">
        <v>424.7449951171875</v>
      </c>
      <c r="C19" s="7">
        <v>426.17999267578119</v>
      </c>
      <c r="D19" s="7">
        <v>422.1199951171875</v>
      </c>
      <c r="E19" s="7">
        <v>424.760009765625</v>
      </c>
      <c r="F19">
        <v>4016085</v>
      </c>
      <c r="G19" s="7">
        <v>424.56997680664063</v>
      </c>
      <c r="H19" t="s">
        <v>10</v>
      </c>
      <c r="I19" s="13">
        <v>2.0828800904703449E-2</v>
      </c>
      <c r="J19" t="s">
        <v>30</v>
      </c>
    </row>
    <row r="20" spans="1:10" x14ac:dyDescent="0.25">
      <c r="A20" s="1">
        <v>46064.770833333343</v>
      </c>
      <c r="B20" s="7">
        <v>427.55999755859381</v>
      </c>
      <c r="C20" s="7">
        <v>427.73001098632813</v>
      </c>
      <c r="D20" s="7">
        <v>423.6199951171875</v>
      </c>
      <c r="E20" s="7">
        <v>424.72000122070313</v>
      </c>
      <c r="F20">
        <v>3807995</v>
      </c>
      <c r="G20" s="7">
        <v>425.03797607421882</v>
      </c>
      <c r="H20" t="s">
        <v>10</v>
      </c>
      <c r="I20" s="13">
        <v>2.6462895913800941E-2</v>
      </c>
      <c r="J20" t="s">
        <v>30</v>
      </c>
    </row>
    <row r="21" spans="1:10" x14ac:dyDescent="0.25">
      <c r="A21" s="1">
        <v>46064.8125</v>
      </c>
      <c r="B21" s="7">
        <v>425.8599853515625</v>
      </c>
      <c r="C21" s="7">
        <v>427.64990234375</v>
      </c>
      <c r="D21" s="7">
        <v>425.6400146484375</v>
      </c>
      <c r="E21" s="7">
        <v>427.51998901367188</v>
      </c>
      <c r="F21">
        <v>3215486</v>
      </c>
      <c r="G21" s="7">
        <v>425.8659729003906</v>
      </c>
      <c r="H21" t="s">
        <v>10</v>
      </c>
      <c r="I21" s="13">
        <v>2.039381663023564E-2</v>
      </c>
      <c r="J21" t="s">
        <v>30</v>
      </c>
    </row>
    <row r="22" spans="1:10" x14ac:dyDescent="0.25">
      <c r="A22" s="1">
        <v>46064.854166666657</v>
      </c>
      <c r="B22" s="7">
        <v>428.14999389648438</v>
      </c>
      <c r="C22" s="7">
        <v>429.10000610351563</v>
      </c>
      <c r="D22" s="7">
        <v>425.45999145507813</v>
      </c>
      <c r="E22" s="7">
        <v>425.82000732421881</v>
      </c>
      <c r="F22">
        <v>3100922</v>
      </c>
      <c r="G22" s="7">
        <v>426.2149719238281</v>
      </c>
      <c r="H22" t="s">
        <v>10</v>
      </c>
      <c r="I22" s="13">
        <v>2.5040830691520109E-2</v>
      </c>
      <c r="J22" t="s">
        <v>30</v>
      </c>
    </row>
    <row r="23" spans="1:10" x14ac:dyDescent="0.25">
      <c r="A23" s="1">
        <v>46065.604166666657</v>
      </c>
      <c r="B23" s="7">
        <v>429.67001342773438</v>
      </c>
      <c r="C23" s="7">
        <v>436.23001098632813</v>
      </c>
      <c r="D23" s="7">
        <v>426.1300048828125</v>
      </c>
      <c r="E23" s="7">
        <v>430.35000610351563</v>
      </c>
      <c r="F23">
        <v>11620453</v>
      </c>
      <c r="G23" s="7">
        <v>427.19699707031248</v>
      </c>
      <c r="H23" t="s">
        <v>10</v>
      </c>
      <c r="I23" s="13">
        <v>2.6315241489890711E-2</v>
      </c>
      <c r="J23" t="s">
        <v>30</v>
      </c>
    </row>
    <row r="24" spans="1:10" x14ac:dyDescent="0.25">
      <c r="A24" s="1">
        <v>46065.645833333343</v>
      </c>
      <c r="B24" s="7">
        <v>419.41000366210938</v>
      </c>
      <c r="C24" s="7">
        <v>430.489990234375</v>
      </c>
      <c r="D24" s="7">
        <v>419.27999877929688</v>
      </c>
      <c r="E24" s="7">
        <v>429.77999877929688</v>
      </c>
      <c r="F24">
        <v>7175428</v>
      </c>
      <c r="G24" s="7">
        <v>426.1299987792969</v>
      </c>
      <c r="H24" t="s">
        <v>11</v>
      </c>
      <c r="I24" s="13">
        <v>4.3165060378772008E-3</v>
      </c>
      <c r="J24" t="s">
        <v>30</v>
      </c>
    </row>
    <row r="25" spans="1:10" x14ac:dyDescent="0.25">
      <c r="A25" s="1">
        <v>46065.6875</v>
      </c>
      <c r="B25" s="7">
        <v>418.10980224609381</v>
      </c>
      <c r="C25" s="7">
        <v>421.409912109375</v>
      </c>
      <c r="D25" s="7">
        <v>417.1199951171875</v>
      </c>
      <c r="E25" s="7">
        <v>419.40499877929688</v>
      </c>
      <c r="F25">
        <v>6221291</v>
      </c>
      <c r="G25" s="7">
        <v>424.23995971679688</v>
      </c>
      <c r="H25" t="s">
        <v>11</v>
      </c>
      <c r="I25" s="13">
        <v>5.6635297579321706E-3</v>
      </c>
      <c r="J25" t="s">
        <v>30</v>
      </c>
    </row>
    <row r="26" spans="1:10" x14ac:dyDescent="0.25">
      <c r="A26" s="1">
        <v>46065.729166666657</v>
      </c>
      <c r="B26" s="7">
        <v>416.79000854492188</v>
      </c>
      <c r="C26" s="7">
        <v>420.10000610351563</v>
      </c>
      <c r="D26" s="7">
        <v>414</v>
      </c>
      <c r="E26" s="7">
        <v>418.06500244140619</v>
      </c>
      <c r="F26">
        <v>4974259</v>
      </c>
      <c r="G26" s="7">
        <v>422.42596435546881</v>
      </c>
      <c r="H26" t="s">
        <v>11</v>
      </c>
      <c r="I26" s="13">
        <v>6.7940017265869851E-3</v>
      </c>
      <c r="J26" t="s">
        <v>30</v>
      </c>
    </row>
    <row r="27" spans="1:10" x14ac:dyDescent="0.25">
      <c r="A27" s="1">
        <v>46065.770833333343</v>
      </c>
      <c r="B27" s="7">
        <v>414.66250610351563</v>
      </c>
      <c r="C27" s="7">
        <v>417.8699951171875</v>
      </c>
      <c r="D27" s="7">
        <v>414.25009155273438</v>
      </c>
      <c r="E27" s="7">
        <v>416.79998779296881</v>
      </c>
      <c r="F27">
        <v>3857610</v>
      </c>
      <c r="G27" s="7">
        <v>419.72846679687501</v>
      </c>
      <c r="H27" t="s">
        <v>11</v>
      </c>
      <c r="I27" s="13">
        <v>8.0922303343458485E-3</v>
      </c>
      <c r="J27" t="s">
        <v>30</v>
      </c>
    </row>
    <row r="28" spans="1:10" x14ac:dyDescent="0.25">
      <c r="A28" s="1">
        <v>46065.8125</v>
      </c>
      <c r="B28" s="7">
        <v>414.80279541015619</v>
      </c>
      <c r="C28" s="7">
        <v>416.85000610351563</v>
      </c>
      <c r="D28" s="7">
        <v>414.54000854492188</v>
      </c>
      <c r="E28" s="7">
        <v>414.6300048828125</v>
      </c>
      <c r="F28">
        <v>3571749</v>
      </c>
      <c r="G28" s="7">
        <v>416.75502319335942</v>
      </c>
      <c r="H28" t="s">
        <v>11</v>
      </c>
      <c r="I28" s="13">
        <v>1.5628210881601989E-2</v>
      </c>
      <c r="J28" t="s">
        <v>30</v>
      </c>
    </row>
    <row r="29" spans="1:10" x14ac:dyDescent="0.25">
      <c r="A29" s="1">
        <v>46065.854166666657</v>
      </c>
      <c r="B29" s="7">
        <v>416.83999633789063</v>
      </c>
      <c r="C29" s="7">
        <v>417.42001342773438</v>
      </c>
      <c r="D29" s="7">
        <v>414.54998779296881</v>
      </c>
      <c r="E29" s="7">
        <v>414.70999145507813</v>
      </c>
      <c r="F29">
        <v>3513182</v>
      </c>
      <c r="G29" s="7">
        <v>416.24102172851559</v>
      </c>
      <c r="H29" t="s">
        <v>10</v>
      </c>
      <c r="I29" s="13">
        <v>2.1876539876666441E-2</v>
      </c>
      <c r="J29" t="s">
        <v>30</v>
      </c>
    </row>
    <row r="30" spans="1:10" x14ac:dyDescent="0.25">
      <c r="A30" s="1">
        <v>46066.604166666657</v>
      </c>
      <c r="B30" s="7">
        <v>416.10501098632813</v>
      </c>
      <c r="C30" s="7">
        <v>417.70001220703119</v>
      </c>
      <c r="D30" s="7">
        <v>410.8800048828125</v>
      </c>
      <c r="E30" s="7">
        <v>414.1400146484375</v>
      </c>
      <c r="F30">
        <v>9931507</v>
      </c>
      <c r="G30" s="7">
        <v>415.84006347656248</v>
      </c>
      <c r="H30" t="s">
        <v>10</v>
      </c>
      <c r="I30" s="13">
        <v>2.1058304089981439E-2</v>
      </c>
      <c r="J30" t="s">
        <v>30</v>
      </c>
    </row>
    <row r="31" spans="1:10" x14ac:dyDescent="0.25">
      <c r="A31" s="1">
        <v>46066.645833333343</v>
      </c>
      <c r="B31" s="7">
        <v>417.92999267578119</v>
      </c>
      <c r="C31" s="7">
        <v>418.3699951171875</v>
      </c>
      <c r="D31" s="7">
        <v>412.3800048828125</v>
      </c>
      <c r="E31" s="7">
        <v>416.10501098632813</v>
      </c>
      <c r="F31">
        <v>6179923</v>
      </c>
      <c r="G31" s="7">
        <v>416.06806030273441</v>
      </c>
      <c r="H31" t="s">
        <v>10</v>
      </c>
      <c r="I31" s="13">
        <v>2.497455798333037E-2</v>
      </c>
      <c r="J31" t="s">
        <v>30</v>
      </c>
    </row>
    <row r="32" spans="1:10" x14ac:dyDescent="0.25">
      <c r="A32" s="1">
        <v>46066.6875</v>
      </c>
      <c r="B32" s="7">
        <v>420.42001342773438</v>
      </c>
      <c r="C32" s="7">
        <v>420.94000244140619</v>
      </c>
      <c r="D32" s="7">
        <v>416.44680786132813</v>
      </c>
      <c r="E32" s="7">
        <v>417.91500854492188</v>
      </c>
      <c r="F32">
        <v>4750659</v>
      </c>
      <c r="G32" s="7">
        <v>417.21956176757811</v>
      </c>
      <c r="H32" t="s">
        <v>10</v>
      </c>
      <c r="I32" s="13">
        <v>2.8235617439132051E-2</v>
      </c>
      <c r="J32" t="s">
        <v>30</v>
      </c>
    </row>
    <row r="33" spans="1:10" x14ac:dyDescent="0.25">
      <c r="A33" s="1">
        <v>46066.729166666657</v>
      </c>
      <c r="B33" s="7">
        <v>420.57980346679688</v>
      </c>
      <c r="C33" s="7">
        <v>421.32998657226563</v>
      </c>
      <c r="D33" s="7">
        <v>418.80999755859381</v>
      </c>
      <c r="E33" s="7">
        <v>420.48001098632813</v>
      </c>
      <c r="F33">
        <v>3564757</v>
      </c>
      <c r="G33" s="7">
        <v>418.37496337890627</v>
      </c>
      <c r="H33" t="s">
        <v>10</v>
      </c>
      <c r="I33" s="13">
        <v>2.5785724116959129E-2</v>
      </c>
      <c r="J33" t="s">
        <v>30</v>
      </c>
    </row>
    <row r="34" spans="1:10" x14ac:dyDescent="0.25">
      <c r="A34" s="1">
        <v>46066.770833333343</v>
      </c>
      <c r="B34" s="7">
        <v>420.51998901367188</v>
      </c>
      <c r="C34" s="7">
        <v>424.05999755859381</v>
      </c>
      <c r="D34" s="7">
        <v>420.29998779296881</v>
      </c>
      <c r="E34" s="7">
        <v>420.70001220703119</v>
      </c>
      <c r="F34">
        <v>4358821</v>
      </c>
      <c r="G34" s="7">
        <v>419.1109619140625</v>
      </c>
      <c r="H34" t="s">
        <v>10</v>
      </c>
      <c r="I34" s="13">
        <v>2.3838717188632699E-2</v>
      </c>
      <c r="J34" t="s">
        <v>30</v>
      </c>
    </row>
    <row r="35" spans="1:10" x14ac:dyDescent="0.25">
      <c r="A35" s="1">
        <v>46066.8125</v>
      </c>
      <c r="B35" s="7">
        <v>417.6099853515625</v>
      </c>
      <c r="C35" s="7">
        <v>421.85989379882813</v>
      </c>
      <c r="D35" s="7">
        <v>417.20999145507813</v>
      </c>
      <c r="E35" s="7">
        <v>420.6300048828125</v>
      </c>
      <c r="F35">
        <v>3900214</v>
      </c>
      <c r="G35" s="7">
        <v>419.41195678710938</v>
      </c>
      <c r="H35" t="s">
        <v>11</v>
      </c>
      <c r="I35" s="13">
        <v>1.602405753573042E-2</v>
      </c>
      <c r="J35" t="s">
        <v>30</v>
      </c>
    </row>
    <row r="36" spans="1:10" x14ac:dyDescent="0.25">
      <c r="A36" s="1">
        <v>46066.854166666657</v>
      </c>
      <c r="B36" s="7">
        <v>417.42001342773438</v>
      </c>
      <c r="C36" s="7">
        <v>418.58999633789063</v>
      </c>
      <c r="D36" s="7">
        <v>416.51998901367188</v>
      </c>
      <c r="E36" s="7">
        <v>417.56988525390619</v>
      </c>
      <c r="F36">
        <v>2855438</v>
      </c>
      <c r="G36" s="7">
        <v>419.30996093750002</v>
      </c>
      <c r="H36" t="s">
        <v>11</v>
      </c>
      <c r="I36" s="13">
        <v>1.5808897693851541E-2</v>
      </c>
      <c r="J36" t="s">
        <v>30</v>
      </c>
    </row>
    <row r="37" spans="1:10" x14ac:dyDescent="0.25">
      <c r="A37" s="1">
        <v>46070.604166666657</v>
      </c>
      <c r="B37" s="7">
        <v>401.32501220703119</v>
      </c>
      <c r="C37" s="7">
        <v>413.69000244140619</v>
      </c>
      <c r="D37" s="7">
        <v>400.92999267578119</v>
      </c>
      <c r="E37" s="7">
        <v>412.40200805664063</v>
      </c>
      <c r="F37">
        <v>12373622</v>
      </c>
      <c r="G37" s="7">
        <v>415.4909606933594</v>
      </c>
      <c r="H37" t="s">
        <v>11</v>
      </c>
      <c r="I37" s="13">
        <v>-1.438212303050857E-2</v>
      </c>
      <c r="J37" t="s">
        <v>30</v>
      </c>
    </row>
    <row r="38" spans="1:10" x14ac:dyDescent="0.25">
      <c r="A38" s="1">
        <v>46070.645833333343</v>
      </c>
      <c r="B38" s="7">
        <v>408.17498779296881</v>
      </c>
      <c r="C38" s="7">
        <v>409.6400146484375</v>
      </c>
      <c r="D38" s="7">
        <v>400.510009765625</v>
      </c>
      <c r="E38" s="7">
        <v>401.32510375976563</v>
      </c>
      <c r="F38">
        <v>7547922</v>
      </c>
      <c r="G38" s="7">
        <v>413.00999755859368</v>
      </c>
      <c r="H38" t="s">
        <v>11</v>
      </c>
      <c r="I38" s="13">
        <v>8.4624877042411718E-3</v>
      </c>
      <c r="J38" t="s">
        <v>30</v>
      </c>
    </row>
    <row r="39" spans="1:10" x14ac:dyDescent="0.25">
      <c r="A39" s="1">
        <v>46070.6875</v>
      </c>
      <c r="B39" s="7">
        <v>406.6300048828125</v>
      </c>
      <c r="C39" s="7">
        <v>408.58999633789063</v>
      </c>
      <c r="D39" s="7">
        <v>404.82998657226563</v>
      </c>
      <c r="E39" s="7">
        <v>408.18499755859381</v>
      </c>
      <c r="F39">
        <v>5100846</v>
      </c>
      <c r="G39" s="7">
        <v>410.23200073242191</v>
      </c>
      <c r="H39" t="s">
        <v>11</v>
      </c>
      <c r="I39" s="13">
        <v>1.144858438694714E-2</v>
      </c>
      <c r="J39" t="s">
        <v>30</v>
      </c>
    </row>
    <row r="40" spans="1:10" x14ac:dyDescent="0.25">
      <c r="A40" s="1">
        <v>46070.729166666657</v>
      </c>
      <c r="B40" s="7">
        <v>409.42001342773438</v>
      </c>
      <c r="C40" s="7">
        <v>410.30999755859381</v>
      </c>
      <c r="D40" s="7">
        <v>403.42001342773438</v>
      </c>
      <c r="E40" s="7">
        <v>406.635009765625</v>
      </c>
      <c r="F40">
        <v>5065104</v>
      </c>
      <c r="G40" s="7">
        <v>408.59400634765632</v>
      </c>
      <c r="H40" t="s">
        <v>10</v>
      </c>
      <c r="I40" s="13">
        <v>2.2471004017574701E-2</v>
      </c>
      <c r="J40" t="s">
        <v>30</v>
      </c>
    </row>
    <row r="41" spans="1:10" x14ac:dyDescent="0.25">
      <c r="A41" s="1">
        <v>46070.770833333343</v>
      </c>
      <c r="B41" s="7">
        <v>411.39999389648438</v>
      </c>
      <c r="C41" s="7">
        <v>413.16989135742188</v>
      </c>
      <c r="D41" s="7">
        <v>408.79010009765619</v>
      </c>
      <c r="E41" s="7">
        <v>409.43798828125</v>
      </c>
      <c r="F41">
        <v>5014738</v>
      </c>
      <c r="G41" s="7">
        <v>407.39000244140618</v>
      </c>
      <c r="H41" t="s">
        <v>12</v>
      </c>
      <c r="I41" s="13">
        <v>3.045217021408823E-2</v>
      </c>
      <c r="J41" t="s">
        <v>30</v>
      </c>
    </row>
    <row r="42" spans="1:10" x14ac:dyDescent="0.25">
      <c r="A42" s="1">
        <v>46070.8125</v>
      </c>
      <c r="B42" s="7">
        <v>410.55990600585938</v>
      </c>
      <c r="C42" s="7">
        <v>412.83099365234381</v>
      </c>
      <c r="D42" s="7">
        <v>409.71139526367188</v>
      </c>
      <c r="E42" s="7">
        <v>411.42001342773438</v>
      </c>
      <c r="F42">
        <v>3604573</v>
      </c>
      <c r="G42" s="7">
        <v>409.23698120117189</v>
      </c>
      <c r="H42" t="s">
        <v>10</v>
      </c>
      <c r="I42" s="13">
        <v>2.370679787581239E-2</v>
      </c>
      <c r="J42" t="s">
        <v>30</v>
      </c>
    </row>
    <row r="43" spans="1:10" x14ac:dyDescent="0.25">
      <c r="A43" s="1">
        <v>46070.854166666657</v>
      </c>
      <c r="B43" s="7">
        <v>410.58999633789063</v>
      </c>
      <c r="C43" s="7">
        <v>411.8800048828125</v>
      </c>
      <c r="D43" s="7">
        <v>409.6400146484375</v>
      </c>
      <c r="E43" s="7">
        <v>410.47000122070313</v>
      </c>
      <c r="F43">
        <v>2992308</v>
      </c>
      <c r="G43" s="7">
        <v>409.71998291015632</v>
      </c>
      <c r="H43" t="s">
        <v>10</v>
      </c>
      <c r="I43" s="13">
        <v>2.2574932866107431E-2</v>
      </c>
      <c r="J43" t="s">
        <v>30</v>
      </c>
    </row>
    <row r="44" spans="1:10" x14ac:dyDescent="0.25">
      <c r="A44" s="1">
        <v>46071.604166666657</v>
      </c>
      <c r="B44" s="7">
        <v>413.26998901367188</v>
      </c>
      <c r="C44" s="7">
        <v>415.67001342773438</v>
      </c>
      <c r="D44" s="7">
        <v>409.57998657226563</v>
      </c>
      <c r="E44" s="7">
        <v>410.67001342773438</v>
      </c>
      <c r="F44">
        <v>9006050</v>
      </c>
      <c r="G44" s="7">
        <v>411.0479797363281</v>
      </c>
      <c r="H44" t="s">
        <v>10</v>
      </c>
      <c r="I44" s="13">
        <v>2.592420158012107E-2</v>
      </c>
      <c r="J44" t="s">
        <v>30</v>
      </c>
    </row>
    <row r="45" spans="1:10" x14ac:dyDescent="0.25">
      <c r="A45" s="1">
        <v>46071.645833333343</v>
      </c>
      <c r="B45" s="7">
        <v>414.3800048828125</v>
      </c>
      <c r="C45" s="7">
        <v>416.32000732421881</v>
      </c>
      <c r="D45" s="7">
        <v>411.58999633789063</v>
      </c>
      <c r="E45" s="7">
        <v>413.2698974609375</v>
      </c>
      <c r="F45">
        <v>5830830</v>
      </c>
      <c r="G45" s="7">
        <v>412.03997802734381</v>
      </c>
      <c r="H45" t="s">
        <v>10</v>
      </c>
      <c r="I45" s="13">
        <v>2.6203189556230459E-2</v>
      </c>
      <c r="J45" t="s">
        <v>30</v>
      </c>
    </row>
    <row r="46" spans="1:10" x14ac:dyDescent="0.25">
      <c r="A46" s="1">
        <v>46071.6875</v>
      </c>
      <c r="B46" s="7">
        <v>415.21499633789063</v>
      </c>
      <c r="C46" s="7">
        <v>416.14999389648438</v>
      </c>
      <c r="D46" s="7">
        <v>413.760009765625</v>
      </c>
      <c r="E46" s="7">
        <v>414.41000366210938</v>
      </c>
      <c r="F46">
        <v>3667109</v>
      </c>
      <c r="G46" s="7">
        <v>412.802978515625</v>
      </c>
      <c r="H46" t="s">
        <v>10</v>
      </c>
      <c r="I46" s="13">
        <v>2.637043292874584E-2</v>
      </c>
      <c r="J46" t="s">
        <v>30</v>
      </c>
    </row>
    <row r="47" spans="1:10" x14ac:dyDescent="0.25">
      <c r="A47" s="1">
        <v>46071.729166666657</v>
      </c>
      <c r="B47" s="7">
        <v>413.92999267578119</v>
      </c>
      <c r="C47" s="7">
        <v>416.89999389648438</v>
      </c>
      <c r="D47" s="7">
        <v>413.42999267578119</v>
      </c>
      <c r="E47" s="7">
        <v>415.17999267578119</v>
      </c>
      <c r="F47">
        <v>3606640</v>
      </c>
      <c r="G47" s="7">
        <v>413.47699584960941</v>
      </c>
      <c r="H47" t="s">
        <v>10</v>
      </c>
      <c r="I47" s="13">
        <v>2.1526101298132521E-2</v>
      </c>
      <c r="J47" t="s">
        <v>30</v>
      </c>
    </row>
    <row r="48" spans="1:10" x14ac:dyDescent="0.25">
      <c r="A48" s="1">
        <v>46071.770833333343</v>
      </c>
      <c r="B48" s="7">
        <v>412.60000610351563</v>
      </c>
      <c r="C48" s="7">
        <v>414.20989990234381</v>
      </c>
      <c r="D48" s="7">
        <v>412.5</v>
      </c>
      <c r="E48" s="7">
        <v>413.92999267578119</v>
      </c>
      <c r="F48">
        <v>3525168</v>
      </c>
      <c r="G48" s="7">
        <v>413.87899780273438</v>
      </c>
      <c r="H48" t="s">
        <v>11</v>
      </c>
      <c r="I48" s="13">
        <v>1.725484169653831E-2</v>
      </c>
      <c r="J48" t="s">
        <v>30</v>
      </c>
    </row>
    <row r="49" spans="1:10" x14ac:dyDescent="0.25">
      <c r="A49" s="1">
        <v>46071.8125</v>
      </c>
      <c r="B49" s="7">
        <v>410.67999267578119</v>
      </c>
      <c r="C49" s="7">
        <v>412.83999633789063</v>
      </c>
      <c r="D49" s="7">
        <v>409.90008544921881</v>
      </c>
      <c r="E49" s="7">
        <v>412.60000610351563</v>
      </c>
      <c r="F49">
        <v>4436796</v>
      </c>
      <c r="G49" s="7">
        <v>413.36099853515623</v>
      </c>
      <c r="H49" t="s">
        <v>11</v>
      </c>
      <c r="I49" s="13">
        <v>1.378992817693782E-2</v>
      </c>
      <c r="J49" t="s">
        <v>30</v>
      </c>
    </row>
    <row r="50" spans="1:10" x14ac:dyDescent="0.25">
      <c r="A50" s="1">
        <v>46071.854166666657</v>
      </c>
      <c r="B50" s="7">
        <v>411.20001220703119</v>
      </c>
      <c r="C50" s="7">
        <v>412.12100219726563</v>
      </c>
      <c r="D50" s="7">
        <v>410.41000366210938</v>
      </c>
      <c r="E50" s="7">
        <v>410.6199951171875</v>
      </c>
      <c r="F50">
        <v>2953314</v>
      </c>
      <c r="G50" s="7">
        <v>412.72500000000002</v>
      </c>
      <c r="H50" t="s">
        <v>11</v>
      </c>
      <c r="I50" s="13">
        <v>1.663783194826627E-2</v>
      </c>
      <c r="J50" t="s">
        <v>30</v>
      </c>
    </row>
    <row r="51" spans="1:10" x14ac:dyDescent="0.25">
      <c r="A51" s="1">
        <v>46072.604166666657</v>
      </c>
      <c r="B51" s="7">
        <v>408.69000244140619</v>
      </c>
      <c r="C51" s="7">
        <v>410.66000366210938</v>
      </c>
      <c r="D51" s="7">
        <v>404.1099853515625</v>
      </c>
      <c r="E51" s="7">
        <v>407.33349609375</v>
      </c>
      <c r="F51">
        <v>9061292</v>
      </c>
      <c r="G51" s="7">
        <v>411.42000122070311</v>
      </c>
      <c r="H51" t="s">
        <v>11</v>
      </c>
      <c r="I51" s="13">
        <v>1.363719191769659E-2</v>
      </c>
      <c r="J51" t="s">
        <v>30</v>
      </c>
    </row>
    <row r="52" spans="1:10" x14ac:dyDescent="0.25">
      <c r="A52" s="1">
        <v>46072.645833333343</v>
      </c>
      <c r="B52" s="7">
        <v>413.85000610351563</v>
      </c>
      <c r="C52" s="7">
        <v>414.98001098632813</v>
      </c>
      <c r="D52" s="7">
        <v>408.45999145507813</v>
      </c>
      <c r="E52" s="7">
        <v>408.69000244140619</v>
      </c>
      <c r="F52">
        <v>6692320</v>
      </c>
      <c r="G52" s="7">
        <v>411.40400390625001</v>
      </c>
      <c r="H52" t="s">
        <v>10</v>
      </c>
      <c r="I52" s="13">
        <v>2.647499923616721E-2</v>
      </c>
      <c r="J52" t="s">
        <v>30</v>
      </c>
    </row>
    <row r="53" spans="1:10" x14ac:dyDescent="0.25">
      <c r="A53" s="1">
        <v>46072.6875</v>
      </c>
      <c r="B53" s="7">
        <v>413.7449951171875</v>
      </c>
      <c r="C53" s="7">
        <v>415.24990844726563</v>
      </c>
      <c r="D53" s="7">
        <v>411.94000244140619</v>
      </c>
      <c r="E53" s="7">
        <v>413.8599853515625</v>
      </c>
      <c r="F53">
        <v>4738635</v>
      </c>
      <c r="G53" s="7">
        <v>411.63300170898441</v>
      </c>
      <c r="H53" t="s">
        <v>10</v>
      </c>
      <c r="I53" s="13">
        <v>2.5643640755074061E-2</v>
      </c>
      <c r="J53" t="s">
        <v>30</v>
      </c>
    </row>
    <row r="54" spans="1:10" x14ac:dyDescent="0.25">
      <c r="A54" s="1">
        <v>46072.729166666657</v>
      </c>
      <c r="B54" s="7">
        <v>409.77508544921881</v>
      </c>
      <c r="C54" s="7">
        <v>413.80999755859381</v>
      </c>
      <c r="D54" s="7">
        <v>408.57998657226563</v>
      </c>
      <c r="E54" s="7">
        <v>413.7449951171875</v>
      </c>
      <c r="F54">
        <v>5285290</v>
      </c>
      <c r="G54" s="7">
        <v>411.4520202636719</v>
      </c>
      <c r="H54" t="s">
        <v>11</v>
      </c>
      <c r="I54" s="13">
        <v>1.6249335772284691E-2</v>
      </c>
      <c r="J54" t="s">
        <v>30</v>
      </c>
    </row>
    <row r="55" spans="1:10" x14ac:dyDescent="0.25">
      <c r="A55" s="1">
        <v>46072.770833333343</v>
      </c>
      <c r="B55" s="7">
        <v>409.77499389648438</v>
      </c>
      <c r="C55" s="7">
        <v>411.17001342773438</v>
      </c>
      <c r="D55" s="7">
        <v>408.67001342773438</v>
      </c>
      <c r="E55" s="7">
        <v>409.76998901367188</v>
      </c>
      <c r="F55">
        <v>3690433</v>
      </c>
      <c r="G55" s="7">
        <v>411.16701660156252</v>
      </c>
      <c r="H55" t="s">
        <v>11</v>
      </c>
      <c r="I55" s="13">
        <v>1.695352980892454E-2</v>
      </c>
      <c r="J55" t="s">
        <v>30</v>
      </c>
    </row>
    <row r="56" spans="1:10" x14ac:dyDescent="0.25">
      <c r="A56" s="1">
        <v>46072.8125</v>
      </c>
      <c r="B56" s="7">
        <v>409.97000122070313</v>
      </c>
      <c r="C56" s="7">
        <v>411.3699951171875</v>
      </c>
      <c r="D56" s="7">
        <v>408.51998901367188</v>
      </c>
      <c r="E56" s="7">
        <v>409.760009765625</v>
      </c>
      <c r="F56">
        <v>3219928</v>
      </c>
      <c r="G56" s="7">
        <v>411.42301635742189</v>
      </c>
      <c r="H56" t="s">
        <v>11</v>
      </c>
      <c r="I56" s="13">
        <v>1.6804406431323391E-2</v>
      </c>
      <c r="J56" t="s">
        <v>30</v>
      </c>
    </row>
    <row r="57" spans="1:10" x14ac:dyDescent="0.25">
      <c r="A57" s="1">
        <v>46072.854166666657</v>
      </c>
      <c r="B57" s="7">
        <v>411.72119140625</v>
      </c>
      <c r="C57" s="7">
        <v>411.89999389648438</v>
      </c>
      <c r="D57" s="7">
        <v>409.760009765625</v>
      </c>
      <c r="E57" s="7">
        <v>409.94000244140619</v>
      </c>
      <c r="F57">
        <v>2412396</v>
      </c>
      <c r="G57" s="7">
        <v>410.99725341796881</v>
      </c>
      <c r="H57" t="s">
        <v>10</v>
      </c>
      <c r="I57" s="13">
        <v>2.2205528641343841E-2</v>
      </c>
      <c r="J57" t="s">
        <v>30</v>
      </c>
    </row>
    <row r="58" spans="1:10" x14ac:dyDescent="0.25">
      <c r="A58" s="1">
        <v>46073.604166666657</v>
      </c>
      <c r="B58" s="7">
        <v>409.80990600585938</v>
      </c>
      <c r="C58" s="7">
        <v>413.23989868164063</v>
      </c>
      <c r="D58" s="7">
        <v>405.5</v>
      </c>
      <c r="E58" s="7">
        <v>408.28500366210938</v>
      </c>
      <c r="F58">
        <v>10757721</v>
      </c>
      <c r="G58" s="7">
        <v>410.21023559570313</v>
      </c>
      <c r="H58" t="s">
        <v>11</v>
      </c>
      <c r="I58" s="13">
        <v>1.941233345408757E-2</v>
      </c>
      <c r="J58" t="s">
        <v>30</v>
      </c>
    </row>
    <row r="59" spans="1:10" x14ac:dyDescent="0.25">
      <c r="A59" s="1">
        <v>46073.645833333343</v>
      </c>
      <c r="B59" s="7">
        <v>409.39730834960938</v>
      </c>
      <c r="C59" s="7">
        <v>414.70001220703119</v>
      </c>
      <c r="D59" s="7">
        <v>408.60000610351563</v>
      </c>
      <c r="E59" s="7">
        <v>409.80999755859381</v>
      </c>
      <c r="F59">
        <v>6659915</v>
      </c>
      <c r="G59" s="7">
        <v>410.13468017578123</v>
      </c>
      <c r="H59" t="s">
        <v>11</v>
      </c>
      <c r="I59" s="13">
        <v>1.8573594604920911E-2</v>
      </c>
      <c r="J59" t="s">
        <v>30</v>
      </c>
    </row>
    <row r="60" spans="1:10" x14ac:dyDescent="0.25">
      <c r="A60" s="1">
        <v>46073.6875</v>
      </c>
      <c r="B60" s="7">
        <v>407.41000366210938</v>
      </c>
      <c r="C60" s="7">
        <v>411.489990234375</v>
      </c>
      <c r="D60" s="7">
        <v>405.8900146484375</v>
      </c>
      <c r="E60" s="7">
        <v>409.3800048828125</v>
      </c>
      <c r="F60">
        <v>5189482</v>
      </c>
      <c r="G60" s="7">
        <v>409.66168212890619</v>
      </c>
      <c r="H60" t="s">
        <v>11</v>
      </c>
      <c r="I60" s="13">
        <v>1.4799556971869019E-2</v>
      </c>
      <c r="J60" t="s">
        <v>30</v>
      </c>
    </row>
    <row r="61" spans="1:10" x14ac:dyDescent="0.25">
      <c r="A61" s="1">
        <v>46073.729166666657</v>
      </c>
      <c r="B61" s="7">
        <v>409.3599853515625</v>
      </c>
      <c r="C61" s="7">
        <v>410.85000610351563</v>
      </c>
      <c r="D61" s="7">
        <v>406.3900146484375</v>
      </c>
      <c r="E61" s="7">
        <v>407.44000244140619</v>
      </c>
      <c r="F61">
        <v>5440903</v>
      </c>
      <c r="G61" s="7">
        <v>409.5396789550781</v>
      </c>
      <c r="H61" t="s">
        <v>11</v>
      </c>
      <c r="I61" s="13">
        <v>1.996043907803885E-2</v>
      </c>
      <c r="J61" t="s">
        <v>30</v>
      </c>
    </row>
    <row r="62" spans="1:10" x14ac:dyDescent="0.25">
      <c r="A62" s="1">
        <v>46073.770833333343</v>
      </c>
      <c r="B62" s="7">
        <v>411.07998657226563</v>
      </c>
      <c r="C62" s="7">
        <v>413.760009765625</v>
      </c>
      <c r="D62" s="7">
        <v>408.66000366210938</v>
      </c>
      <c r="E62" s="7">
        <v>409.38760375976563</v>
      </c>
      <c r="F62">
        <v>4599772</v>
      </c>
      <c r="G62" s="7">
        <v>409.41143798828119</v>
      </c>
      <c r="H62" t="s">
        <v>10</v>
      </c>
      <c r="I62" s="13">
        <v>2.4566817464779619E-2</v>
      </c>
      <c r="J62" t="s">
        <v>30</v>
      </c>
    </row>
    <row r="63" spans="1:10" x14ac:dyDescent="0.25">
      <c r="A63" s="1">
        <v>46073.8125</v>
      </c>
      <c r="B63" s="7">
        <v>409.79000854492188</v>
      </c>
      <c r="C63" s="7">
        <v>411.58999633789063</v>
      </c>
      <c r="D63" s="7">
        <v>409.52999877929688</v>
      </c>
      <c r="E63" s="7">
        <v>411.1099853515625</v>
      </c>
      <c r="F63">
        <v>3411540</v>
      </c>
      <c r="G63" s="7">
        <v>409.40745849609368</v>
      </c>
      <c r="H63" t="s">
        <v>10</v>
      </c>
      <c r="I63" s="13">
        <v>2.136163195421496E-2</v>
      </c>
      <c r="J63" t="s">
        <v>30</v>
      </c>
    </row>
    <row r="64" spans="1:10" x14ac:dyDescent="0.25">
      <c r="A64" s="1">
        <v>46073.854166666657</v>
      </c>
      <c r="B64" s="7">
        <v>411.70999145507813</v>
      </c>
      <c r="C64" s="7">
        <v>412.239990234375</v>
      </c>
      <c r="D64" s="7">
        <v>409.67001342773438</v>
      </c>
      <c r="E64" s="7">
        <v>409.78500366210938</v>
      </c>
      <c r="F64">
        <v>2596449</v>
      </c>
      <c r="G64" s="7">
        <v>409.8699951171875</v>
      </c>
      <c r="H64" t="s">
        <v>10</v>
      </c>
      <c r="I64" s="13">
        <v>2.4988999398541632E-2</v>
      </c>
      <c r="J64" t="s">
        <v>30</v>
      </c>
    </row>
    <row r="65" spans="1:10" x14ac:dyDescent="0.25">
      <c r="A65" s="1">
        <v>46076.604166666657</v>
      </c>
      <c r="B65" s="7">
        <v>403.3800048828125</v>
      </c>
      <c r="C65" s="7">
        <v>407.70001220703119</v>
      </c>
      <c r="D65" s="7">
        <v>402</v>
      </c>
      <c r="E65" s="7">
        <v>407.28500366210938</v>
      </c>
      <c r="F65">
        <v>10591210</v>
      </c>
      <c r="G65" s="7">
        <v>409.06399536132813</v>
      </c>
      <c r="H65" t="s">
        <v>11</v>
      </c>
      <c r="I65" s="13">
        <v>6.229476433979233E-3</v>
      </c>
      <c r="J65" t="s">
        <v>30</v>
      </c>
    </row>
    <row r="66" spans="1:10" x14ac:dyDescent="0.25">
      <c r="A66" s="1">
        <v>46076.645833333343</v>
      </c>
      <c r="B66" s="7">
        <v>397.97000122070313</v>
      </c>
      <c r="C66" s="7">
        <v>404.07000732421881</v>
      </c>
      <c r="D66" s="7">
        <v>396.6199951171875</v>
      </c>
      <c r="E66" s="7">
        <v>403.39999389648438</v>
      </c>
      <c r="F66">
        <v>8461994</v>
      </c>
      <c r="G66" s="7">
        <v>406.78599853515618</v>
      </c>
      <c r="H66" t="s">
        <v>11</v>
      </c>
      <c r="I66" s="13">
        <v>-1.706451444608752E-3</v>
      </c>
      <c r="J66" t="s">
        <v>30</v>
      </c>
    </row>
    <row r="67" spans="1:10" x14ac:dyDescent="0.25">
      <c r="A67" s="1">
        <v>46076.6875</v>
      </c>
      <c r="B67" s="7">
        <v>397.42001342773438</v>
      </c>
      <c r="C67" s="7">
        <v>399.2698974609375</v>
      </c>
      <c r="D67" s="7">
        <v>397.3900146484375</v>
      </c>
      <c r="E67" s="7">
        <v>397.989990234375</v>
      </c>
      <c r="F67">
        <v>4886095</v>
      </c>
      <c r="G67" s="7">
        <v>404.05400390624999</v>
      </c>
      <c r="H67" t="s">
        <v>11</v>
      </c>
      <c r="I67" s="13">
        <v>3.65451654022061E-3</v>
      </c>
      <c r="J67" t="s">
        <v>30</v>
      </c>
    </row>
    <row r="68" spans="1:10" x14ac:dyDescent="0.25">
      <c r="A68" s="1">
        <v>46076.729166666657</v>
      </c>
      <c r="B68" s="7">
        <v>396.04000854492188</v>
      </c>
      <c r="C68" s="7">
        <v>397.45999145507813</v>
      </c>
      <c r="D68" s="7">
        <v>394.239990234375</v>
      </c>
      <c r="E68" s="7">
        <v>397.41009521484381</v>
      </c>
      <c r="F68">
        <v>6773472</v>
      </c>
      <c r="G68" s="7">
        <v>401.30400390624999</v>
      </c>
      <c r="H68" t="s">
        <v>11</v>
      </c>
      <c r="I68" s="13">
        <v>7.0232386550230343E-3</v>
      </c>
      <c r="J68" t="s">
        <v>30</v>
      </c>
    </row>
    <row r="69" spans="1:10" x14ac:dyDescent="0.25">
      <c r="A69" s="1">
        <v>46076.770833333343</v>
      </c>
      <c r="B69" s="7">
        <v>394.39498901367188</v>
      </c>
      <c r="C69" s="7">
        <v>396.3599853515625</v>
      </c>
      <c r="D69" s="7">
        <v>394.17001342773438</v>
      </c>
      <c r="E69" s="7">
        <v>396.05999755859381</v>
      </c>
      <c r="F69">
        <v>4394057</v>
      </c>
      <c r="G69" s="7">
        <v>397.84100341796881</v>
      </c>
      <c r="H69" t="s">
        <v>11</v>
      </c>
      <c r="I69" s="13">
        <v>1.156960414579747E-2</v>
      </c>
      <c r="J69" t="s">
        <v>30</v>
      </c>
    </row>
    <row r="70" spans="1:10" x14ac:dyDescent="0.25">
      <c r="A70" s="1">
        <v>46076.8125</v>
      </c>
      <c r="B70" s="7">
        <v>395.53118896484381</v>
      </c>
      <c r="C70" s="7">
        <v>396.02999877929688</v>
      </c>
      <c r="D70" s="7">
        <v>394.04000854492188</v>
      </c>
      <c r="E70" s="7">
        <v>394.39511108398438</v>
      </c>
      <c r="F70">
        <v>4861633</v>
      </c>
      <c r="G70" s="7">
        <v>396.271240234375</v>
      </c>
      <c r="H70" t="s">
        <v>11</v>
      </c>
      <c r="I70" s="13">
        <v>1.8502513094433529E-2</v>
      </c>
      <c r="J70" t="s">
        <v>30</v>
      </c>
    </row>
    <row r="71" spans="1:10" x14ac:dyDescent="0.25">
      <c r="A71" s="1">
        <v>46076.854166666657</v>
      </c>
      <c r="B71" s="7">
        <v>399.85000610351563</v>
      </c>
      <c r="C71" s="7">
        <v>400</v>
      </c>
      <c r="D71" s="7">
        <v>395.45001220703119</v>
      </c>
      <c r="E71" s="7">
        <v>395.52999877929688</v>
      </c>
      <c r="F71">
        <v>6059604</v>
      </c>
      <c r="G71" s="7">
        <v>396.64724121093752</v>
      </c>
      <c r="H71" t="s">
        <v>10</v>
      </c>
      <c r="I71" s="13">
        <v>2.8647543505110229E-2</v>
      </c>
      <c r="J71" t="s">
        <v>30</v>
      </c>
    </row>
    <row r="72" spans="1:10" x14ac:dyDescent="0.25">
      <c r="A72" s="1">
        <v>46077.604166666657</v>
      </c>
      <c r="B72" s="7">
        <v>407.44500732421881</v>
      </c>
      <c r="C72" s="7">
        <v>407.54000854492188</v>
      </c>
      <c r="D72" s="7">
        <v>397.6400146484375</v>
      </c>
      <c r="E72" s="7">
        <v>399.54998779296881</v>
      </c>
      <c r="F72">
        <v>11029900</v>
      </c>
      <c r="G72" s="7">
        <v>398.65223999023442</v>
      </c>
      <c r="H72" t="s">
        <v>12</v>
      </c>
      <c r="I72" s="13">
        <v>4.291452511469647E-2</v>
      </c>
      <c r="J72" t="s">
        <v>30</v>
      </c>
    </row>
    <row r="73" spans="1:10" x14ac:dyDescent="0.25">
      <c r="A73" s="1">
        <v>46077.645833333343</v>
      </c>
      <c r="B73" s="7">
        <v>403.32998657226563</v>
      </c>
      <c r="C73" s="7">
        <v>407.70999145507813</v>
      </c>
      <c r="D73" s="7">
        <v>402.80999755859381</v>
      </c>
      <c r="E73" s="7">
        <v>407.45001220703119</v>
      </c>
      <c r="F73">
        <v>6812426</v>
      </c>
      <c r="G73" s="7">
        <v>400.1102355957031</v>
      </c>
      <c r="H73" t="s">
        <v>10</v>
      </c>
      <c r="I73" s="13">
        <v>2.86195507477441E-2</v>
      </c>
      <c r="J73" t="s">
        <v>30</v>
      </c>
    </row>
    <row r="74" spans="1:10" x14ac:dyDescent="0.25">
      <c r="A74" s="1">
        <v>46077.6875</v>
      </c>
      <c r="B74" s="7">
        <v>404.04010009765619</v>
      </c>
      <c r="C74" s="7">
        <v>405.67001342773438</v>
      </c>
      <c r="D74" s="7">
        <v>402.260009765625</v>
      </c>
      <c r="E74" s="7">
        <v>403.32998657226563</v>
      </c>
      <c r="F74">
        <v>4907449</v>
      </c>
      <c r="G74" s="7">
        <v>402.03925781250001</v>
      </c>
      <c r="H74" t="s">
        <v>10</v>
      </c>
      <c r="I74" s="13">
        <v>2.548646286293408E-2</v>
      </c>
      <c r="J74" t="s">
        <v>30</v>
      </c>
    </row>
    <row r="75" spans="1:10" x14ac:dyDescent="0.25">
      <c r="A75" s="1">
        <v>46077.729166666657</v>
      </c>
      <c r="B75" s="7">
        <v>405.32989501953119</v>
      </c>
      <c r="C75" s="7">
        <v>406.02999877929688</v>
      </c>
      <c r="D75" s="7">
        <v>403.70001220703119</v>
      </c>
      <c r="E75" s="7">
        <v>404.08999633789063</v>
      </c>
      <c r="F75">
        <v>3316814</v>
      </c>
      <c r="G75" s="7">
        <v>403.99899902343748</v>
      </c>
      <c r="H75" t="s">
        <v>10</v>
      </c>
      <c r="I75" s="13">
        <v>2.376969916552852E-2</v>
      </c>
      <c r="J75" t="s">
        <v>30</v>
      </c>
    </row>
    <row r="76" spans="1:10" x14ac:dyDescent="0.25">
      <c r="A76" s="1">
        <v>46077.770833333343</v>
      </c>
      <c r="B76" s="7">
        <v>408.6400146484375</v>
      </c>
      <c r="C76" s="7">
        <v>409.54998779296881</v>
      </c>
      <c r="D76" s="7">
        <v>405.14999389648438</v>
      </c>
      <c r="E76" s="7">
        <v>405.33999633789063</v>
      </c>
      <c r="F76">
        <v>5302925</v>
      </c>
      <c r="G76" s="7">
        <v>405.75700073242189</v>
      </c>
      <c r="H76" t="s">
        <v>10</v>
      </c>
      <c r="I76" s="13">
        <v>2.7658440966983579E-2</v>
      </c>
      <c r="J76" t="s">
        <v>30</v>
      </c>
    </row>
    <row r="77" spans="1:10" x14ac:dyDescent="0.25">
      <c r="A77" s="1">
        <v>46077.8125</v>
      </c>
      <c r="B77" s="7">
        <v>408.760009765625</v>
      </c>
      <c r="C77" s="7">
        <v>410.41000366210938</v>
      </c>
      <c r="D77" s="7">
        <v>407.91000366210938</v>
      </c>
      <c r="E77" s="7">
        <v>408.6400146484375</v>
      </c>
      <c r="F77">
        <v>4666369</v>
      </c>
      <c r="G77" s="7">
        <v>406.02000122070308</v>
      </c>
      <c r="H77" t="s">
        <v>10</v>
      </c>
      <c r="I77" s="13">
        <v>2.7294343941748209E-2</v>
      </c>
      <c r="J77" t="s">
        <v>30</v>
      </c>
    </row>
    <row r="78" spans="1:10" x14ac:dyDescent="0.25">
      <c r="A78" s="1">
        <v>46077.854166666657</v>
      </c>
      <c r="B78" s="7">
        <v>409.3599853515625</v>
      </c>
      <c r="C78" s="7">
        <v>410.82000732421881</v>
      </c>
      <c r="D78" s="7">
        <v>408.67001342773438</v>
      </c>
      <c r="E78" s="7">
        <v>408.79998779296881</v>
      </c>
      <c r="F78">
        <v>3668801</v>
      </c>
      <c r="G78" s="7">
        <v>407.22600097656249</v>
      </c>
      <c r="H78" t="s">
        <v>10</v>
      </c>
      <c r="I78" s="13">
        <v>2.5755403056745639E-2</v>
      </c>
      <c r="J78" t="s">
        <v>30</v>
      </c>
    </row>
    <row r="79" spans="1:10" x14ac:dyDescent="0.25">
      <c r="A79" s="1">
        <v>46078.604166666657</v>
      </c>
      <c r="B79" s="7">
        <v>414.82998657226563</v>
      </c>
      <c r="C79" s="7">
        <v>420.33999633789063</v>
      </c>
      <c r="D79" s="7">
        <v>412.14999389648438</v>
      </c>
      <c r="E79" s="7">
        <v>412.14999389648438</v>
      </c>
      <c r="F79">
        <v>11792494</v>
      </c>
      <c r="G79" s="7">
        <v>409.38397827148441</v>
      </c>
      <c r="H79" t="s">
        <v>12</v>
      </c>
      <c r="I79" s="13">
        <v>3.3982586355314238E-2</v>
      </c>
      <c r="J79" t="s">
        <v>30</v>
      </c>
    </row>
    <row r="80" spans="1:10" x14ac:dyDescent="0.25">
      <c r="A80" s="1">
        <v>46078.645833333343</v>
      </c>
      <c r="B80" s="7">
        <v>413.96011352539063</v>
      </c>
      <c r="C80" s="7">
        <v>415.79998779296881</v>
      </c>
      <c r="D80" s="7">
        <v>413.3599853515625</v>
      </c>
      <c r="E80" s="7">
        <v>414.80999755859381</v>
      </c>
      <c r="F80">
        <v>5681106</v>
      </c>
      <c r="G80" s="7">
        <v>411.11002197265623</v>
      </c>
      <c r="H80" t="s">
        <v>10</v>
      </c>
      <c r="I80" s="13">
        <v>2.7482319892548561E-2</v>
      </c>
      <c r="J80" t="s">
        <v>30</v>
      </c>
    </row>
    <row r="81" spans="1:10" x14ac:dyDescent="0.25">
      <c r="A81" s="1">
        <v>46078.6875</v>
      </c>
      <c r="B81" s="7">
        <v>414.08499145507813</v>
      </c>
      <c r="C81" s="7">
        <v>416.92001342773438</v>
      </c>
      <c r="D81" s="7">
        <v>413.16000366210938</v>
      </c>
      <c r="E81" s="7">
        <v>413.95001220703119</v>
      </c>
      <c r="F81">
        <v>5585583</v>
      </c>
      <c r="G81" s="7">
        <v>412.19901733398439</v>
      </c>
      <c r="H81" t="s">
        <v>10</v>
      </c>
      <c r="I81" s="13">
        <v>2.5076935649379649E-2</v>
      </c>
      <c r="J81" t="s">
        <v>30</v>
      </c>
    </row>
    <row r="82" spans="1:10" x14ac:dyDescent="0.25">
      <c r="A82" s="1">
        <v>46078.729166666657</v>
      </c>
      <c r="B82" s="7">
        <v>415.1300048828125</v>
      </c>
      <c r="C82" s="7">
        <v>415.30999755859381</v>
      </c>
      <c r="D82" s="7">
        <v>413.79998779296881</v>
      </c>
      <c r="E82" s="7">
        <v>414.09500122070313</v>
      </c>
      <c r="F82">
        <v>3208768</v>
      </c>
      <c r="G82" s="7">
        <v>413.4730163574219</v>
      </c>
      <c r="H82" t="s">
        <v>10</v>
      </c>
      <c r="I82" s="13">
        <v>2.449743765772245E-2</v>
      </c>
      <c r="J82" t="s">
        <v>30</v>
      </c>
    </row>
    <row r="83" spans="1:10" x14ac:dyDescent="0.25">
      <c r="A83" s="1">
        <v>46078.770833333343</v>
      </c>
      <c r="B83" s="7">
        <v>415.92001342773438</v>
      </c>
      <c r="C83" s="7">
        <v>416.54998779296881</v>
      </c>
      <c r="D83" s="7">
        <v>414.89999389648438</v>
      </c>
      <c r="E83" s="7">
        <v>415.14999389648438</v>
      </c>
      <c r="F83">
        <v>2995514</v>
      </c>
      <c r="G83" s="7">
        <v>414.78502197265618</v>
      </c>
      <c r="H83" t="s">
        <v>10</v>
      </c>
      <c r="I83" s="13">
        <v>2.320034351446288E-2</v>
      </c>
      <c r="J83" t="s">
        <v>30</v>
      </c>
    </row>
    <row r="84" spans="1:10" x14ac:dyDescent="0.25">
      <c r="A84" s="1">
        <v>46078.8125</v>
      </c>
      <c r="B84" s="7">
        <v>415.70730590820313</v>
      </c>
      <c r="C84" s="7">
        <v>416.60000610351563</v>
      </c>
      <c r="D84" s="7">
        <v>415.45001220703119</v>
      </c>
      <c r="E84" s="7">
        <v>415.95169067382813</v>
      </c>
      <c r="F84">
        <v>3293688</v>
      </c>
      <c r="G84" s="7">
        <v>414.96048583984373</v>
      </c>
      <c r="H84" t="s">
        <v>10</v>
      </c>
      <c r="I84" s="13">
        <v>2.2244630399524842E-2</v>
      </c>
      <c r="J84" t="s">
        <v>30</v>
      </c>
    </row>
    <row r="85" spans="1:10" x14ac:dyDescent="0.25">
      <c r="A85" s="1">
        <v>46078.854166666657</v>
      </c>
      <c r="B85" s="7">
        <v>417.3900146484375</v>
      </c>
      <c r="C85" s="7">
        <v>417.6400146484375</v>
      </c>
      <c r="D85" s="7">
        <v>414.85000610351563</v>
      </c>
      <c r="E85" s="7">
        <v>415.69390869140619</v>
      </c>
      <c r="F85">
        <v>4018059</v>
      </c>
      <c r="G85" s="7">
        <v>415.64646606445308</v>
      </c>
      <c r="H85" t="s">
        <v>10</v>
      </c>
      <c r="I85" s="13">
        <v>2.4688558633497278E-2</v>
      </c>
      <c r="J85" t="s">
        <v>30</v>
      </c>
    </row>
    <row r="86" spans="1:10" x14ac:dyDescent="0.25">
      <c r="A86" s="1">
        <v>46079.604166666657</v>
      </c>
      <c r="B86" s="7">
        <v>407.8175048828125</v>
      </c>
      <c r="C86" s="7">
        <v>416.79998779296881</v>
      </c>
      <c r="D86" s="7">
        <v>406.47000122070313</v>
      </c>
      <c r="E86" s="7">
        <v>414.5</v>
      </c>
      <c r="F86">
        <v>11463131</v>
      </c>
      <c r="G86" s="7">
        <v>414.39296875000002</v>
      </c>
      <c r="H86" t="s">
        <v>11</v>
      </c>
      <c r="I86" s="13">
        <v>4.216631281610453E-3</v>
      </c>
      <c r="J86" t="s">
        <v>30</v>
      </c>
    </row>
    <row r="87" spans="1:10" x14ac:dyDescent="0.25">
      <c r="A87" s="1">
        <v>46079.645833333343</v>
      </c>
      <c r="B87" s="7">
        <v>409.08331298828119</v>
      </c>
      <c r="C87" s="7">
        <v>410.29998779296881</v>
      </c>
      <c r="D87" s="7">
        <v>404.83010864257813</v>
      </c>
      <c r="E87" s="7">
        <v>407.80999755859381</v>
      </c>
      <c r="F87">
        <v>5522506</v>
      </c>
      <c r="G87" s="7">
        <v>413.18363037109373</v>
      </c>
      <c r="H87" t="s">
        <v>11</v>
      </c>
      <c r="I87" s="13">
        <v>1.028192151259512E-2</v>
      </c>
      <c r="J87" t="s">
        <v>30</v>
      </c>
    </row>
    <row r="88" spans="1:10" x14ac:dyDescent="0.25">
      <c r="A88" s="1">
        <v>46079.6875</v>
      </c>
      <c r="B88" s="7">
        <v>405.20999145507813</v>
      </c>
      <c r="C88" s="7">
        <v>410.17001342773438</v>
      </c>
      <c r="D88" s="7">
        <v>404.27999877929688</v>
      </c>
      <c r="E88" s="7">
        <v>409.07998657226563</v>
      </c>
      <c r="F88">
        <v>5978869</v>
      </c>
      <c r="G88" s="7">
        <v>411.0416259765625</v>
      </c>
      <c r="H88" t="s">
        <v>11</v>
      </c>
      <c r="I88" s="13">
        <v>5.9311684919307354E-3</v>
      </c>
      <c r="J88" t="s">
        <v>30</v>
      </c>
    </row>
    <row r="89" spans="1:10" x14ac:dyDescent="0.25">
      <c r="A89" s="1">
        <v>46079.729166666657</v>
      </c>
      <c r="B89" s="7">
        <v>405.20999145507813</v>
      </c>
      <c r="C89" s="7">
        <v>406.46990966796881</v>
      </c>
      <c r="D89" s="7">
        <v>403.66000366210938</v>
      </c>
      <c r="E89" s="7">
        <v>405.20999145507813</v>
      </c>
      <c r="F89">
        <v>4467298</v>
      </c>
      <c r="G89" s="7">
        <v>408.94216308593752</v>
      </c>
      <c r="H89" t="s">
        <v>11</v>
      </c>
      <c r="I89" s="13">
        <v>1.1095505528823759E-2</v>
      </c>
      <c r="J89" t="s">
        <v>30</v>
      </c>
    </row>
    <row r="90" spans="1:10" x14ac:dyDescent="0.25">
      <c r="A90" s="1">
        <v>46079.770833333343</v>
      </c>
      <c r="B90" s="7">
        <v>408.18991088867188</v>
      </c>
      <c r="C90" s="7">
        <v>409.38900756835938</v>
      </c>
      <c r="D90" s="7">
        <v>405.07998657226563</v>
      </c>
      <c r="E90" s="7">
        <v>405.22000122070313</v>
      </c>
      <c r="F90">
        <v>4046022</v>
      </c>
      <c r="G90" s="7">
        <v>407.10214233398438</v>
      </c>
      <c r="H90" t="s">
        <v>10</v>
      </c>
      <c r="I90" s="13">
        <v>2.313467289893965E-2</v>
      </c>
      <c r="J90" t="s">
        <v>30</v>
      </c>
    </row>
    <row r="91" spans="1:10" x14ac:dyDescent="0.25">
      <c r="A91" s="1">
        <v>46079.8125</v>
      </c>
      <c r="B91" s="7">
        <v>407.70999145507813</v>
      </c>
      <c r="C91" s="7">
        <v>409.07998657226563</v>
      </c>
      <c r="D91" s="7">
        <v>407.1199951171875</v>
      </c>
      <c r="E91" s="7">
        <v>408.17999267578119</v>
      </c>
      <c r="F91">
        <v>3426907</v>
      </c>
      <c r="G91" s="7">
        <v>407.08063964843751</v>
      </c>
      <c r="H91" t="s">
        <v>10</v>
      </c>
      <c r="I91" s="13">
        <v>2.1985727164234071E-2</v>
      </c>
      <c r="J91" t="s">
        <v>30</v>
      </c>
    </row>
    <row r="92" spans="1:10" x14ac:dyDescent="0.25">
      <c r="A92" s="1">
        <v>46079.854166666657</v>
      </c>
      <c r="B92" s="7">
        <v>408.48001098632813</v>
      </c>
      <c r="C92" s="7">
        <v>409.20001220703119</v>
      </c>
      <c r="D92" s="7">
        <v>407.69000244140619</v>
      </c>
      <c r="E92" s="7">
        <v>407.70001220703119</v>
      </c>
      <c r="F92">
        <v>2644632</v>
      </c>
      <c r="G92" s="7">
        <v>406.95997924804692</v>
      </c>
      <c r="H92" t="s">
        <v>10</v>
      </c>
      <c r="I92" s="13">
        <v>2.421947856228069E-2</v>
      </c>
      <c r="J92" t="s">
        <v>30</v>
      </c>
    </row>
    <row r="93" spans="1:10" x14ac:dyDescent="0.25">
      <c r="A93" s="1">
        <v>46080.604166666657</v>
      </c>
      <c r="B93" s="7">
        <v>406.85400390625</v>
      </c>
      <c r="C93" s="7">
        <v>407.1099853515625</v>
      </c>
      <c r="D93" s="7">
        <v>400.89999389648438</v>
      </c>
      <c r="E93" s="7">
        <v>402.94000244140619</v>
      </c>
      <c r="F93">
        <v>8592703</v>
      </c>
      <c r="G93" s="7">
        <v>407.28878173828127</v>
      </c>
      <c r="H93" t="s">
        <v>11</v>
      </c>
      <c r="I93" s="13">
        <v>1.931888492300066E-2</v>
      </c>
      <c r="J93" t="s">
        <v>30</v>
      </c>
    </row>
    <row r="94" spans="1:10" x14ac:dyDescent="0.25">
      <c r="A94" s="1">
        <v>46080.645833333343</v>
      </c>
      <c r="B94" s="7">
        <v>402.30999755859381</v>
      </c>
      <c r="C94" s="7">
        <v>406.92001342773438</v>
      </c>
      <c r="D94" s="7">
        <v>401.82998657226563</v>
      </c>
      <c r="E94" s="7">
        <v>406.8599853515625</v>
      </c>
      <c r="F94">
        <v>10497247</v>
      </c>
      <c r="G94" s="7">
        <v>406.70878295898439</v>
      </c>
      <c r="H94" t="s">
        <v>11</v>
      </c>
      <c r="I94" s="13">
        <v>9.3718721423196628E-3</v>
      </c>
      <c r="J94" t="s">
        <v>30</v>
      </c>
    </row>
    <row r="95" spans="1:10" x14ac:dyDescent="0.25">
      <c r="A95" s="1">
        <v>46080.6875</v>
      </c>
      <c r="B95" s="7">
        <v>400.909912109375</v>
      </c>
      <c r="C95" s="7">
        <v>403.54000854492188</v>
      </c>
      <c r="D95" s="7">
        <v>399.02999877929688</v>
      </c>
      <c r="E95" s="7">
        <v>402.260009765625</v>
      </c>
      <c r="F95">
        <v>532089</v>
      </c>
      <c r="G95" s="7">
        <v>405.25278320312498</v>
      </c>
      <c r="H95" t="s">
        <v>11</v>
      </c>
      <c r="I95" s="13">
        <v>9.4730104428017246E-3</v>
      </c>
      <c r="J95" t="s">
        <v>30</v>
      </c>
    </row>
    <row r="96" spans="1:10" x14ac:dyDescent="0.25">
      <c r="A96" s="1">
        <v>46080.729166666657</v>
      </c>
      <c r="B96" s="7">
        <v>399.73001098632813</v>
      </c>
      <c r="C96" s="7">
        <v>401.6099853515625</v>
      </c>
      <c r="D96" s="7">
        <v>398.52999877929688</v>
      </c>
      <c r="E96" s="7">
        <v>400.92001342773438</v>
      </c>
      <c r="F96">
        <v>4264145</v>
      </c>
      <c r="G96" s="7">
        <v>403.65678710937499</v>
      </c>
      <c r="H96" t="s">
        <v>11</v>
      </c>
      <c r="I96" s="13">
        <v>1.0481625327058619E-2</v>
      </c>
      <c r="J96" t="s">
        <v>30</v>
      </c>
    </row>
    <row r="97" spans="1:10" x14ac:dyDescent="0.25">
      <c r="A97" s="1">
        <v>46080.770833333343</v>
      </c>
      <c r="B97" s="7">
        <v>399.73001098632813</v>
      </c>
      <c r="C97" s="7">
        <v>400.42001342773438</v>
      </c>
      <c r="D97" s="7">
        <v>398.1199951171875</v>
      </c>
      <c r="E97" s="7">
        <v>399.70001220703119</v>
      </c>
      <c r="F97">
        <v>3641343</v>
      </c>
      <c r="G97" s="7">
        <v>401.90678710937499</v>
      </c>
      <c r="H97" t="s">
        <v>11</v>
      </c>
      <c r="I97" s="13">
        <v>1.4881508337347639E-2</v>
      </c>
      <c r="J97" t="s">
        <v>30</v>
      </c>
    </row>
    <row r="98" spans="1:10" x14ac:dyDescent="0.25">
      <c r="A98" s="1">
        <v>46080.8125</v>
      </c>
      <c r="B98" s="7">
        <v>400.17999267578119</v>
      </c>
      <c r="C98" s="7">
        <v>401.01998901367188</v>
      </c>
      <c r="D98" s="7">
        <v>398.75</v>
      </c>
      <c r="E98" s="7">
        <v>399.7349853515625</v>
      </c>
      <c r="F98">
        <v>3782831</v>
      </c>
      <c r="G98" s="7">
        <v>400.57198486328127</v>
      </c>
      <c r="H98" t="s">
        <v>11</v>
      </c>
      <c r="I98" s="13">
        <v>1.9409611086981051E-2</v>
      </c>
      <c r="J98" t="s">
        <v>30</v>
      </c>
    </row>
    <row r="99" spans="1:10" x14ac:dyDescent="0.25">
      <c r="A99" s="1">
        <v>46080.854166666657</v>
      </c>
      <c r="B99" s="7">
        <v>402.42001342773438</v>
      </c>
      <c r="C99" s="7">
        <v>403.3900146484375</v>
      </c>
      <c r="D99" s="7">
        <v>399.27999877929688</v>
      </c>
      <c r="E99" s="7">
        <v>400.1300048828125</v>
      </c>
      <c r="F99">
        <v>4543627</v>
      </c>
      <c r="G99" s="7">
        <v>400.5939880371094</v>
      </c>
      <c r="H99" t="s">
        <v>10</v>
      </c>
      <c r="I99" s="13">
        <v>2.505948423009019E-2</v>
      </c>
      <c r="J99" t="s">
        <v>30</v>
      </c>
    </row>
    <row r="100" spans="1:10" x14ac:dyDescent="0.25">
      <c r="A100" s="1">
        <v>46083.604166666657</v>
      </c>
      <c r="B100" s="7">
        <v>398.65411376953119</v>
      </c>
      <c r="C100" s="7">
        <v>399.21868896484381</v>
      </c>
      <c r="D100" s="7">
        <v>388.25</v>
      </c>
      <c r="E100" s="7">
        <v>390.32000732421881</v>
      </c>
      <c r="F100">
        <v>11632699</v>
      </c>
      <c r="G100" s="7">
        <v>400.1428283691406</v>
      </c>
      <c r="H100" t="s">
        <v>11</v>
      </c>
      <c r="I100" s="13">
        <v>1.6611777518734109E-2</v>
      </c>
      <c r="J100" t="s">
        <v>30</v>
      </c>
    </row>
    <row r="101" spans="1:10" x14ac:dyDescent="0.25">
      <c r="A101" s="1">
        <v>46083.645833333343</v>
      </c>
      <c r="B101" s="7">
        <v>400.17001342773438</v>
      </c>
      <c r="C101" s="7">
        <v>403.70901489257813</v>
      </c>
      <c r="D101" s="7">
        <v>397.739990234375</v>
      </c>
      <c r="E101" s="7">
        <v>398.66500854492188</v>
      </c>
      <c r="F101">
        <v>6369385</v>
      </c>
      <c r="G101" s="7">
        <v>400.2308288574219</v>
      </c>
      <c r="H101" t="s">
        <v>10</v>
      </c>
      <c r="I101" s="13">
        <v>2.0253111339189441E-2</v>
      </c>
      <c r="J101" t="s">
        <v>30</v>
      </c>
    </row>
    <row r="102" spans="1:10" x14ac:dyDescent="0.25">
      <c r="A102" s="1">
        <v>46083.6875</v>
      </c>
      <c r="B102" s="7">
        <v>402.51998901367188</v>
      </c>
      <c r="C102" s="7">
        <v>404.53988647460938</v>
      </c>
      <c r="D102" s="7">
        <v>399.739990234375</v>
      </c>
      <c r="E102" s="7">
        <v>400.20999145507813</v>
      </c>
      <c r="F102">
        <v>5307407</v>
      </c>
      <c r="G102" s="7">
        <v>400.7888244628906</v>
      </c>
      <c r="H102" t="s">
        <v>10</v>
      </c>
      <c r="I102" s="13">
        <v>2.4815707417616389E-2</v>
      </c>
      <c r="J102" t="s">
        <v>30</v>
      </c>
    </row>
    <row r="103" spans="1:10" x14ac:dyDescent="0.25">
      <c r="A103" s="1">
        <v>46083.729166666657</v>
      </c>
      <c r="B103" s="7">
        <v>401.75</v>
      </c>
      <c r="C103" s="7">
        <v>403.19000244140619</v>
      </c>
      <c r="D103" s="7">
        <v>400.97000122070313</v>
      </c>
      <c r="E103" s="7">
        <v>402.47000122070313</v>
      </c>
      <c r="F103">
        <v>3707542</v>
      </c>
      <c r="G103" s="7">
        <v>401.10282592773439</v>
      </c>
      <c r="H103" t="s">
        <v>10</v>
      </c>
      <c r="I103" s="13">
        <v>2.205457825843422E-2</v>
      </c>
      <c r="J103" t="s">
        <v>30</v>
      </c>
    </row>
    <row r="104" spans="1:10" x14ac:dyDescent="0.25">
      <c r="A104" s="1">
        <v>46083.770833333343</v>
      </c>
      <c r="B104" s="7">
        <v>402.64999389648438</v>
      </c>
      <c r="C104" s="7">
        <v>402.8699951171875</v>
      </c>
      <c r="D104" s="7">
        <v>400.10000610351563</v>
      </c>
      <c r="E104" s="7">
        <v>401.78628540039063</v>
      </c>
      <c r="F104">
        <v>3484032</v>
      </c>
      <c r="G104" s="7">
        <v>401.14882202148442</v>
      </c>
      <c r="H104" t="s">
        <v>10</v>
      </c>
      <c r="I104" s="13">
        <v>2.422671626016519E-2</v>
      </c>
      <c r="J104" t="s">
        <v>30</v>
      </c>
    </row>
    <row r="105" spans="1:10" x14ac:dyDescent="0.25">
      <c r="A105" s="1">
        <v>46083.8125</v>
      </c>
      <c r="B105" s="7">
        <v>399.55999755859381</v>
      </c>
      <c r="C105" s="7">
        <v>402.79998779296881</v>
      </c>
      <c r="D105" s="7">
        <v>398.91000366210938</v>
      </c>
      <c r="E105" s="7">
        <v>402.66000366210938</v>
      </c>
      <c r="F105">
        <v>15081453</v>
      </c>
      <c r="G105" s="7">
        <v>401.32999877929689</v>
      </c>
      <c r="H105" t="s">
        <v>11</v>
      </c>
      <c r="I105" s="13">
        <v>1.5907817664208249E-2</v>
      </c>
      <c r="J105" t="s">
        <v>30</v>
      </c>
    </row>
    <row r="106" spans="1:10" x14ac:dyDescent="0.25">
      <c r="A106" s="1">
        <v>46083.854166666657</v>
      </c>
      <c r="B106" s="7">
        <v>403.2349853515625</v>
      </c>
      <c r="C106" s="7">
        <v>403.489990234375</v>
      </c>
      <c r="D106" s="7">
        <v>399.55999755859381</v>
      </c>
      <c r="E106" s="7">
        <v>399.57000732421881</v>
      </c>
      <c r="F106">
        <v>5267667</v>
      </c>
      <c r="G106" s="7">
        <v>401.9429931640625</v>
      </c>
      <c r="H106" t="s">
        <v>10</v>
      </c>
      <c r="I106" s="13">
        <v>2.3688129323731381E-2</v>
      </c>
      <c r="J106" t="s">
        <v>30</v>
      </c>
    </row>
    <row r="107" spans="1:10" x14ac:dyDescent="0.25">
      <c r="A107" s="1">
        <v>46084.604166666657</v>
      </c>
      <c r="B107" s="7">
        <v>386.72000122070313</v>
      </c>
      <c r="C107" s="7">
        <v>396.33999633789063</v>
      </c>
      <c r="D107" s="7">
        <v>386.55999755859381</v>
      </c>
      <c r="E107" s="7">
        <v>395.08999633789063</v>
      </c>
      <c r="F107">
        <v>17290057</v>
      </c>
      <c r="G107" s="7">
        <v>398.78299560546873</v>
      </c>
      <c r="H107" t="s">
        <v>11</v>
      </c>
      <c r="I107" s="13">
        <v>-1.04586943471892E-2</v>
      </c>
      <c r="J107" t="s">
        <v>30</v>
      </c>
    </row>
    <row r="108" spans="1:10" x14ac:dyDescent="0.25">
      <c r="A108" s="1">
        <v>46084.645833333343</v>
      </c>
      <c r="B108" s="7">
        <v>392.54000854492188</v>
      </c>
      <c r="C108" s="7">
        <v>393.55999755859381</v>
      </c>
      <c r="D108" s="7">
        <v>385.39999389648438</v>
      </c>
      <c r="E108" s="7">
        <v>386.69000244140619</v>
      </c>
      <c r="F108">
        <v>12190306</v>
      </c>
      <c r="G108" s="7">
        <v>396.94099731445311</v>
      </c>
      <c r="H108" t="s">
        <v>11</v>
      </c>
      <c r="I108" s="13">
        <v>9.0946307825149203E-3</v>
      </c>
      <c r="J108" t="s">
        <v>30</v>
      </c>
    </row>
    <row r="109" spans="1:10" x14ac:dyDescent="0.25">
      <c r="A109" s="1">
        <v>46084.6875</v>
      </c>
      <c r="B109" s="7">
        <v>392</v>
      </c>
      <c r="C109" s="7">
        <v>393.54998779296881</v>
      </c>
      <c r="D109" s="7">
        <v>389.8599853515625</v>
      </c>
      <c r="E109" s="7">
        <v>392.52999877929688</v>
      </c>
      <c r="F109">
        <v>6657822</v>
      </c>
      <c r="G109" s="7">
        <v>394.81099853515627</v>
      </c>
      <c r="H109" t="s">
        <v>11</v>
      </c>
      <c r="I109" s="13">
        <v>1.314300129453385E-2</v>
      </c>
      <c r="J109" t="s">
        <v>30</v>
      </c>
    </row>
    <row r="110" spans="1:10" x14ac:dyDescent="0.25">
      <c r="A110" s="1">
        <v>46084.729166666657</v>
      </c>
      <c r="B110" s="7">
        <v>393.29000854492188</v>
      </c>
      <c r="C110" s="7">
        <v>393.92001342773438</v>
      </c>
      <c r="D110" s="7">
        <v>389.07998657226563</v>
      </c>
      <c r="E110" s="7">
        <v>391.95999145507813</v>
      </c>
      <c r="F110">
        <v>5541323</v>
      </c>
      <c r="G110" s="7">
        <v>393.5570007324219</v>
      </c>
      <c r="H110" t="s">
        <v>11</v>
      </c>
      <c r="I110" s="13">
        <v>1.9715910282520809E-2</v>
      </c>
      <c r="J110" t="s">
        <v>30</v>
      </c>
    </row>
    <row r="111" spans="1:10" x14ac:dyDescent="0.25">
      <c r="A111" s="1">
        <v>46084.770833333343</v>
      </c>
      <c r="B111" s="7">
        <v>391.635009765625</v>
      </c>
      <c r="C111" s="7">
        <v>394.76998901367188</v>
      </c>
      <c r="D111" s="7">
        <v>391</v>
      </c>
      <c r="E111" s="7">
        <v>393.29998779296881</v>
      </c>
      <c r="F111">
        <v>5557143</v>
      </c>
      <c r="G111" s="7">
        <v>391.23700561523441</v>
      </c>
      <c r="H111" t="s">
        <v>10</v>
      </c>
      <c r="I111" s="13">
        <v>2.144622121545699E-2</v>
      </c>
      <c r="J111" t="s">
        <v>30</v>
      </c>
    </row>
    <row r="112" spans="1:10" x14ac:dyDescent="0.25">
      <c r="A112" s="1">
        <v>46084.8125</v>
      </c>
      <c r="B112" s="7">
        <v>392.54998779296881</v>
      </c>
      <c r="C112" s="7">
        <v>394.70001220703119</v>
      </c>
      <c r="D112" s="7">
        <v>391.23001098632813</v>
      </c>
      <c r="E112" s="7">
        <v>391.67001342773438</v>
      </c>
      <c r="F112">
        <v>5268077</v>
      </c>
      <c r="G112" s="7">
        <v>392.40300292968749</v>
      </c>
      <c r="H112" t="s">
        <v>10</v>
      </c>
      <c r="I112" s="13">
        <v>2.0790383975262141E-2</v>
      </c>
      <c r="J112" t="s">
        <v>30</v>
      </c>
    </row>
    <row r="113" spans="1:10" x14ac:dyDescent="0.25">
      <c r="A113" s="1">
        <v>46084.854166666657</v>
      </c>
      <c r="B113" s="7">
        <v>392.35000610351563</v>
      </c>
      <c r="C113" s="7">
        <v>393.5</v>
      </c>
      <c r="D113" s="7">
        <v>391.67001342773438</v>
      </c>
      <c r="E113" s="7">
        <v>392.54010009765619</v>
      </c>
      <c r="F113">
        <v>5308335</v>
      </c>
      <c r="G113" s="7">
        <v>392.36500244140632</v>
      </c>
      <c r="H113" t="s">
        <v>10</v>
      </c>
      <c r="I113" s="13">
        <v>2.0369162881715631E-2</v>
      </c>
      <c r="J113" t="s">
        <v>30</v>
      </c>
    </row>
    <row r="114" spans="1:10" x14ac:dyDescent="0.25">
      <c r="A114" s="1">
        <v>46085.604166666657</v>
      </c>
      <c r="B114" s="7">
        <v>407.67001342773438</v>
      </c>
      <c r="C114" s="7">
        <v>407.85238647460938</v>
      </c>
      <c r="D114" s="7">
        <v>394.58999633789063</v>
      </c>
      <c r="E114" s="7">
        <v>397.84500122070313</v>
      </c>
      <c r="F114">
        <v>20741277</v>
      </c>
      <c r="G114" s="7">
        <v>395.49900512695308</v>
      </c>
      <c r="H114" t="s">
        <v>12</v>
      </c>
      <c r="I114" s="13">
        <v>5.1810002623411261E-2</v>
      </c>
      <c r="J114" t="s">
        <v>30</v>
      </c>
    </row>
    <row r="115" spans="1:10" x14ac:dyDescent="0.25">
      <c r="A115" s="1">
        <v>46085.645833333343</v>
      </c>
      <c r="B115" s="7">
        <v>404.19500732421881</v>
      </c>
      <c r="C115" s="7">
        <v>407.79000854492188</v>
      </c>
      <c r="D115" s="7">
        <v>401.42999267578119</v>
      </c>
      <c r="E115" s="7">
        <v>407.67001342773438</v>
      </c>
      <c r="F115">
        <v>10733226</v>
      </c>
      <c r="G115" s="7">
        <v>397.68000488281251</v>
      </c>
      <c r="H115" t="s">
        <v>12</v>
      </c>
      <c r="I115" s="13">
        <v>3.7125025046836548E-2</v>
      </c>
      <c r="J115" t="s">
        <v>30</v>
      </c>
    </row>
    <row r="116" spans="1:10" x14ac:dyDescent="0.25">
      <c r="A116" s="1">
        <v>46085.6875</v>
      </c>
      <c r="B116" s="7">
        <v>404.8599853515625</v>
      </c>
      <c r="C116" s="7">
        <v>407.14999389648438</v>
      </c>
      <c r="D116" s="7">
        <v>403.8800048828125</v>
      </c>
      <c r="E116" s="7">
        <v>404.17999267578119</v>
      </c>
      <c r="F116">
        <v>7361876</v>
      </c>
      <c r="G116" s="7">
        <v>400.32499999999999</v>
      </c>
      <c r="H116" t="s">
        <v>12</v>
      </c>
      <c r="I116" s="13">
        <v>3.1967611396257187E-2</v>
      </c>
      <c r="J116" t="s">
        <v>30</v>
      </c>
    </row>
    <row r="117" spans="1:10" x14ac:dyDescent="0.25">
      <c r="A117" s="1">
        <v>46085.729166666657</v>
      </c>
      <c r="B117" s="7">
        <v>403.77999877929688</v>
      </c>
      <c r="C117" s="7">
        <v>405.04000854492188</v>
      </c>
      <c r="D117" s="7">
        <v>403.27999877929688</v>
      </c>
      <c r="E117" s="7">
        <v>404.864990234375</v>
      </c>
      <c r="F117">
        <v>6209136</v>
      </c>
      <c r="G117" s="7">
        <v>402.57100219726561</v>
      </c>
      <c r="H117" t="s">
        <v>10</v>
      </c>
      <c r="I117" s="13">
        <v>2.3472641270257E-2</v>
      </c>
      <c r="J117" t="s">
        <v>30</v>
      </c>
    </row>
    <row r="118" spans="1:10" x14ac:dyDescent="0.25">
      <c r="A118" s="1">
        <v>46085.770833333343</v>
      </c>
      <c r="B118" s="7">
        <v>406.32501220703119</v>
      </c>
      <c r="C118" s="7">
        <v>406.83999633789063</v>
      </c>
      <c r="D118" s="7">
        <v>403.72000122070313</v>
      </c>
      <c r="E118" s="7">
        <v>403.77999877929688</v>
      </c>
      <c r="F118">
        <v>5290009</v>
      </c>
      <c r="G118" s="7">
        <v>405.36600341796873</v>
      </c>
      <c r="H118" t="s">
        <v>10</v>
      </c>
      <c r="I118" s="13">
        <v>2.282222953813462E-2</v>
      </c>
      <c r="J118" t="s">
        <v>30</v>
      </c>
    </row>
    <row r="119" spans="1:10" x14ac:dyDescent="0.25">
      <c r="A119" s="1">
        <v>46085.8125</v>
      </c>
      <c r="B119" s="7">
        <v>406.95001220703119</v>
      </c>
      <c r="C119" s="7">
        <v>407.3800048828125</v>
      </c>
      <c r="D119" s="7">
        <v>404.85000610351563</v>
      </c>
      <c r="E119" s="7">
        <v>406.32998657226563</v>
      </c>
      <c r="F119">
        <v>5657840</v>
      </c>
      <c r="G119" s="7">
        <v>405.22200317382811</v>
      </c>
      <c r="H119" t="s">
        <v>10</v>
      </c>
      <c r="I119" s="13">
        <v>2.4759542286845241E-2</v>
      </c>
      <c r="J119" t="s">
        <v>30</v>
      </c>
    </row>
    <row r="120" spans="1:10" x14ac:dyDescent="0.25">
      <c r="A120" s="1">
        <v>46085.854166666657</v>
      </c>
      <c r="B120" s="7">
        <v>406.07000732421881</v>
      </c>
      <c r="C120" s="7">
        <v>408.32998657226563</v>
      </c>
      <c r="D120" s="7">
        <v>404.75</v>
      </c>
      <c r="E120" s="7">
        <v>406.95001220703119</v>
      </c>
      <c r="F120">
        <v>6921220</v>
      </c>
      <c r="G120" s="7">
        <v>405.59700317382811</v>
      </c>
      <c r="H120" t="s">
        <v>10</v>
      </c>
      <c r="I120" s="13">
        <v>2.159815552989432E-2</v>
      </c>
      <c r="J120" t="s">
        <v>30</v>
      </c>
    </row>
    <row r="121" spans="1:10" x14ac:dyDescent="0.25">
      <c r="A121" s="1">
        <v>46086.604166666657</v>
      </c>
      <c r="B121" s="7">
        <v>403.6400146484375</v>
      </c>
      <c r="C121" s="7">
        <v>407.3800048828125</v>
      </c>
      <c r="D121" s="7">
        <v>400.29998779296881</v>
      </c>
      <c r="E121" s="7">
        <v>401.57000732421881</v>
      </c>
      <c r="F121">
        <v>12709534</v>
      </c>
      <c r="G121" s="7">
        <v>405.35300903320308</v>
      </c>
      <c r="H121" t="s">
        <v>11</v>
      </c>
      <c r="I121" s="13">
        <v>1.6095987421314031E-2</v>
      </c>
      <c r="J121" t="s">
        <v>30</v>
      </c>
    </row>
    <row r="122" spans="1:10" x14ac:dyDescent="0.25">
      <c r="A122" s="1">
        <v>46086.645833333343</v>
      </c>
      <c r="B122" s="7">
        <v>405.41531372070313</v>
      </c>
      <c r="C122" s="7">
        <v>407.05999755859381</v>
      </c>
      <c r="D122" s="7">
        <v>401.76998901367188</v>
      </c>
      <c r="E122" s="7">
        <v>403.67001342773438</v>
      </c>
      <c r="F122">
        <v>8003266</v>
      </c>
      <c r="G122" s="7">
        <v>405.68007202148442</v>
      </c>
      <c r="H122" t="s">
        <v>11</v>
      </c>
      <c r="I122" s="13">
        <v>1.974221600774622E-2</v>
      </c>
      <c r="J122" t="s">
        <v>30</v>
      </c>
    </row>
    <row r="123" spans="1:10" x14ac:dyDescent="0.25">
      <c r="A123" s="1">
        <v>46086.6875</v>
      </c>
      <c r="B123" s="7">
        <v>403.15008544921881</v>
      </c>
      <c r="C123" s="7">
        <v>408.61990356445313</v>
      </c>
      <c r="D123" s="7">
        <v>403.04998779296881</v>
      </c>
      <c r="E123" s="7">
        <v>405.45999145507813</v>
      </c>
      <c r="F123">
        <v>6229475</v>
      </c>
      <c r="G123" s="7">
        <v>405.04508666992189</v>
      </c>
      <c r="H123" t="s">
        <v>11</v>
      </c>
      <c r="I123" s="13">
        <v>1.5634189259348241E-2</v>
      </c>
      <c r="J123" t="s">
        <v>30</v>
      </c>
    </row>
    <row r="124" spans="1:10" x14ac:dyDescent="0.25">
      <c r="A124" s="1">
        <v>46086.729166666657</v>
      </c>
      <c r="B124" s="7">
        <v>399.73001098632813</v>
      </c>
      <c r="C124" s="7">
        <v>403.42999267578119</v>
      </c>
      <c r="D124" s="7">
        <v>399.42001342773438</v>
      </c>
      <c r="E124" s="7">
        <v>403.17001342773438</v>
      </c>
      <c r="F124">
        <v>6761936</v>
      </c>
      <c r="G124" s="7">
        <v>403.60108642578132</v>
      </c>
      <c r="H124" t="s">
        <v>11</v>
      </c>
      <c r="I124" s="13">
        <v>1.062108113920234E-2</v>
      </c>
      <c r="J124" t="s">
        <v>30</v>
      </c>
    </row>
    <row r="125" spans="1:10" x14ac:dyDescent="0.25">
      <c r="A125" s="1">
        <v>46086.770833333343</v>
      </c>
      <c r="B125" s="7">
        <v>401.75</v>
      </c>
      <c r="C125" s="7">
        <v>402.77999877929688</v>
      </c>
      <c r="D125" s="7">
        <v>399.55999755859381</v>
      </c>
      <c r="E125" s="7">
        <v>399.70001220703119</v>
      </c>
      <c r="F125">
        <v>4565821</v>
      </c>
      <c r="G125" s="7">
        <v>402.73708496093752</v>
      </c>
      <c r="H125" t="s">
        <v>11</v>
      </c>
      <c r="I125" s="13">
        <v>1.7907202738974799E-2</v>
      </c>
      <c r="J125" t="s">
        <v>30</v>
      </c>
    </row>
    <row r="126" spans="1:10" x14ac:dyDescent="0.25">
      <c r="A126" s="1">
        <v>46086.8125</v>
      </c>
      <c r="B126" s="7">
        <v>402.79000854492188</v>
      </c>
      <c r="C126" s="7">
        <v>404.3800048828125</v>
      </c>
      <c r="D126" s="7">
        <v>399.760009765625</v>
      </c>
      <c r="E126" s="7">
        <v>401.70001220703119</v>
      </c>
      <c r="F126">
        <v>5510901</v>
      </c>
      <c r="G126" s="7">
        <v>402.56708374023441</v>
      </c>
      <c r="H126" t="s">
        <v>10</v>
      </c>
      <c r="I126" s="13">
        <v>2.097322260494219E-2</v>
      </c>
      <c r="J126" t="s">
        <v>30</v>
      </c>
    </row>
    <row r="127" spans="1:10" x14ac:dyDescent="0.25">
      <c r="A127" s="1">
        <v>46086.854166666657</v>
      </c>
      <c r="B127" s="7">
        <v>405.40130615234381</v>
      </c>
      <c r="C127" s="7">
        <v>405.8900146484375</v>
      </c>
      <c r="D127" s="7">
        <v>402.57000732421881</v>
      </c>
      <c r="E127" s="7">
        <v>402.76998901367188</v>
      </c>
      <c r="F127">
        <v>4836899</v>
      </c>
      <c r="G127" s="7">
        <v>402.56428222656251</v>
      </c>
      <c r="H127" t="s">
        <v>10</v>
      </c>
      <c r="I127" s="13">
        <v>2.7599368499000781E-2</v>
      </c>
      <c r="J127" t="s">
        <v>30</v>
      </c>
    </row>
    <row r="128" spans="1:10" x14ac:dyDescent="0.25">
      <c r="A128" s="1">
        <v>46087.604166666657</v>
      </c>
      <c r="B128" s="7">
        <v>397.30999755859381</v>
      </c>
      <c r="C128" s="7">
        <v>398.5</v>
      </c>
      <c r="D128" s="7">
        <v>394.22000122070313</v>
      </c>
      <c r="E128" s="7">
        <v>398.18499755859381</v>
      </c>
      <c r="F128">
        <v>16938293</v>
      </c>
      <c r="G128" s="7">
        <v>401.39626464843752</v>
      </c>
      <c r="H128" t="s">
        <v>11</v>
      </c>
      <c r="I128" s="13">
        <v>1.002027313530965E-2</v>
      </c>
      <c r="J128" t="s">
        <v>30</v>
      </c>
    </row>
    <row r="129" spans="1:10" x14ac:dyDescent="0.25">
      <c r="A129" s="1">
        <v>46087.645833333343</v>
      </c>
      <c r="B129" s="7">
        <v>399.6199951171875</v>
      </c>
      <c r="C129" s="7">
        <v>399.95498657226563</v>
      </c>
      <c r="D129" s="7">
        <v>395.41000366210938</v>
      </c>
      <c r="E129" s="7">
        <v>397.26998901367188</v>
      </c>
      <c r="F129">
        <v>10989461</v>
      </c>
      <c r="G129" s="7">
        <v>401.3742614746094</v>
      </c>
      <c r="H129" t="s">
        <v>11</v>
      </c>
      <c r="I129" s="13">
        <v>1.5948316475234259E-2</v>
      </c>
      <c r="J129" t="s">
        <v>30</v>
      </c>
    </row>
    <row r="130" spans="1:10" x14ac:dyDescent="0.25">
      <c r="A130" s="1">
        <v>46087.6875</v>
      </c>
      <c r="B130" s="7">
        <v>398.8599853515625</v>
      </c>
      <c r="C130" s="7">
        <v>401.41000366210938</v>
      </c>
      <c r="D130" s="7">
        <v>397.71099853515619</v>
      </c>
      <c r="E130" s="7">
        <v>399.6300048828125</v>
      </c>
      <c r="F130">
        <v>8265638</v>
      </c>
      <c r="G130" s="7">
        <v>400.7962585449219</v>
      </c>
      <c r="H130" t="s">
        <v>11</v>
      </c>
      <c r="I130" s="13">
        <v>1.547850404146826E-2</v>
      </c>
      <c r="J130" t="s">
        <v>30</v>
      </c>
    </row>
    <row r="131" spans="1:10" x14ac:dyDescent="0.25">
      <c r="A131" s="1">
        <v>46087.729166666657</v>
      </c>
      <c r="B131" s="7">
        <v>401.17001342773438</v>
      </c>
      <c r="C131" s="7">
        <v>402.35000610351563</v>
      </c>
      <c r="D131" s="7">
        <v>397.14999389648438</v>
      </c>
      <c r="E131" s="7">
        <v>398.91000366210938</v>
      </c>
      <c r="F131">
        <v>6641166</v>
      </c>
      <c r="G131" s="7">
        <v>400.47225952148438</v>
      </c>
      <c r="H131" t="s">
        <v>10</v>
      </c>
      <c r="I131" s="13">
        <v>2.218604866175905E-2</v>
      </c>
      <c r="J131" t="s">
        <v>30</v>
      </c>
    </row>
    <row r="132" spans="1:10" x14ac:dyDescent="0.25">
      <c r="A132" s="1">
        <v>46087.770833333343</v>
      </c>
      <c r="B132" s="7">
        <v>399.30999755859381</v>
      </c>
      <c r="C132" s="7">
        <v>401.75</v>
      </c>
      <c r="D132" s="7">
        <v>398.29998779296881</v>
      </c>
      <c r="E132" s="7">
        <v>401.16500854492188</v>
      </c>
      <c r="F132">
        <v>5725425</v>
      </c>
      <c r="G132" s="7">
        <v>399.25399780273438</v>
      </c>
      <c r="H132" t="s">
        <v>10</v>
      </c>
      <c r="I132" s="13">
        <v>2.0551286711368629E-2</v>
      </c>
      <c r="J132" t="s">
        <v>30</v>
      </c>
    </row>
    <row r="133" spans="1:10" x14ac:dyDescent="0.25">
      <c r="A133" s="1">
        <v>46087.8125</v>
      </c>
      <c r="B133" s="7">
        <v>396.72000122070313</v>
      </c>
      <c r="C133" s="7">
        <v>400.82998657226563</v>
      </c>
      <c r="D133" s="7">
        <v>396.5</v>
      </c>
      <c r="E133" s="7">
        <v>399.30999755859381</v>
      </c>
      <c r="F133">
        <v>5982618</v>
      </c>
      <c r="G133" s="7">
        <v>399.13599853515632</v>
      </c>
      <c r="H133" t="s">
        <v>11</v>
      </c>
      <c r="I133" s="13">
        <v>1.4231563331592411E-2</v>
      </c>
      <c r="J133" t="s">
        <v>30</v>
      </c>
    </row>
    <row r="134" spans="1:10" x14ac:dyDescent="0.25">
      <c r="A134" s="1">
        <v>46087.854166666657</v>
      </c>
      <c r="B134" s="7">
        <v>396.55999755859381</v>
      </c>
      <c r="C134" s="7">
        <v>398.20001220703119</v>
      </c>
      <c r="D134" s="7">
        <v>396.20001220703119</v>
      </c>
      <c r="E134" s="7">
        <v>396.73001098632813</v>
      </c>
      <c r="F134">
        <v>5246449</v>
      </c>
      <c r="G134" s="7">
        <v>398.52399902343751</v>
      </c>
      <c r="H134" t="s">
        <v>11</v>
      </c>
      <c r="I134" s="13">
        <v>1.5379399295501381E-2</v>
      </c>
      <c r="J134" t="s">
        <v>30</v>
      </c>
    </row>
    <row r="135" spans="1:10" x14ac:dyDescent="0.25">
      <c r="A135" s="1">
        <v>46083.604166666657</v>
      </c>
      <c r="B135" s="7">
        <v>398.65411376953119</v>
      </c>
      <c r="C135" s="7">
        <v>399.21868896484381</v>
      </c>
      <c r="D135" s="7">
        <v>388.25</v>
      </c>
      <c r="E135" s="7">
        <v>390.32000732421881</v>
      </c>
      <c r="F135">
        <v>11632699</v>
      </c>
      <c r="G135" s="7"/>
      <c r="H135" t="s">
        <v>9</v>
      </c>
      <c r="I135" s="6">
        <v>0</v>
      </c>
      <c r="J135" t="s">
        <v>31</v>
      </c>
    </row>
    <row r="136" spans="1:10" x14ac:dyDescent="0.25">
      <c r="A136" s="1">
        <v>46083.645833333343</v>
      </c>
      <c r="B136" s="7">
        <v>400.17001342773438</v>
      </c>
      <c r="C136" s="7">
        <v>403.70901489257813</v>
      </c>
      <c r="D136" s="7">
        <v>397.739990234375</v>
      </c>
      <c r="E136" s="7">
        <v>398.66500854492188</v>
      </c>
      <c r="F136">
        <v>6369385</v>
      </c>
      <c r="G136" s="7"/>
      <c r="H136" t="s">
        <v>9</v>
      </c>
      <c r="I136" s="6">
        <v>0</v>
      </c>
      <c r="J136" t="s">
        <v>31</v>
      </c>
    </row>
    <row r="137" spans="1:10" x14ac:dyDescent="0.25">
      <c r="A137" s="1">
        <v>46083.6875</v>
      </c>
      <c r="B137" s="7">
        <v>402.51998901367188</v>
      </c>
      <c r="C137" s="7">
        <v>404.53988647460938</v>
      </c>
      <c r="D137" s="7">
        <v>399.739990234375</v>
      </c>
      <c r="E137" s="7">
        <v>400.20999145507813</v>
      </c>
      <c r="F137">
        <v>5307407</v>
      </c>
      <c r="G137" s="7"/>
      <c r="H137" t="s">
        <v>9</v>
      </c>
      <c r="I137" s="6">
        <v>0</v>
      </c>
      <c r="J137" t="s">
        <v>31</v>
      </c>
    </row>
    <row r="138" spans="1:10" x14ac:dyDescent="0.25">
      <c r="A138" s="1">
        <v>46083.729166666657</v>
      </c>
      <c r="B138" s="7">
        <v>401.75</v>
      </c>
      <c r="C138" s="7">
        <v>403.19000244140619</v>
      </c>
      <c r="D138" s="7">
        <v>400.97000122070313</v>
      </c>
      <c r="E138" s="7">
        <v>402.47000122070313</v>
      </c>
      <c r="F138">
        <v>3707542</v>
      </c>
      <c r="G138" s="7"/>
      <c r="H138" t="s">
        <v>9</v>
      </c>
      <c r="I138" s="6">
        <v>0</v>
      </c>
      <c r="J138" t="s">
        <v>31</v>
      </c>
    </row>
    <row r="139" spans="1:10" x14ac:dyDescent="0.25">
      <c r="A139" s="1">
        <v>46083.770833333343</v>
      </c>
      <c r="B139" s="7">
        <v>402.64999389648438</v>
      </c>
      <c r="C139" s="7">
        <v>402.8699951171875</v>
      </c>
      <c r="D139" s="7">
        <v>400.10000610351563</v>
      </c>
      <c r="E139" s="7">
        <v>401.78628540039063</v>
      </c>
      <c r="F139">
        <v>3484032</v>
      </c>
      <c r="G139" s="7">
        <v>401.14882202148442</v>
      </c>
      <c r="H139" t="s">
        <v>10</v>
      </c>
      <c r="I139" s="6">
        <v>2.422671626016519E-2</v>
      </c>
      <c r="J139" t="s">
        <v>31</v>
      </c>
    </row>
    <row r="140" spans="1:10" x14ac:dyDescent="0.25">
      <c r="A140" s="1">
        <v>46083.8125</v>
      </c>
      <c r="B140" s="7">
        <v>399.55999755859381</v>
      </c>
      <c r="C140" s="7">
        <v>402.79998779296881</v>
      </c>
      <c r="D140" s="7">
        <v>398.91000366210938</v>
      </c>
      <c r="E140" s="7">
        <v>402.66000366210938</v>
      </c>
      <c r="F140">
        <v>15081453</v>
      </c>
      <c r="G140" s="7">
        <v>401.32999877929689</v>
      </c>
      <c r="H140" t="s">
        <v>11</v>
      </c>
      <c r="I140" s="6">
        <v>1.5907817664208249E-2</v>
      </c>
      <c r="J140" t="s">
        <v>31</v>
      </c>
    </row>
    <row r="141" spans="1:10" x14ac:dyDescent="0.25">
      <c r="A141" s="1">
        <v>46083.854166666657</v>
      </c>
      <c r="B141" s="7">
        <v>403.2349853515625</v>
      </c>
      <c r="C141" s="7">
        <v>403.489990234375</v>
      </c>
      <c r="D141" s="7">
        <v>399.55999755859381</v>
      </c>
      <c r="E141" s="7">
        <v>399.57000732421881</v>
      </c>
      <c r="F141">
        <v>5267667</v>
      </c>
      <c r="G141" s="7">
        <v>401.9429931640625</v>
      </c>
      <c r="H141" t="s">
        <v>10</v>
      </c>
      <c r="I141" s="6">
        <v>2.3688129323731381E-2</v>
      </c>
      <c r="J141" t="s">
        <v>31</v>
      </c>
    </row>
    <row r="142" spans="1:10" x14ac:dyDescent="0.25">
      <c r="A142" s="1">
        <v>46084.604166666657</v>
      </c>
      <c r="B142" s="7">
        <v>386.72000122070313</v>
      </c>
      <c r="C142" s="7">
        <v>396.33999633789063</v>
      </c>
      <c r="D142" s="7">
        <v>386.55999755859381</v>
      </c>
      <c r="E142" s="7">
        <v>395.08999633789063</v>
      </c>
      <c r="F142">
        <v>17290057</v>
      </c>
      <c r="G142" s="7">
        <v>398.78299560546873</v>
      </c>
      <c r="H142" t="s">
        <v>11</v>
      </c>
      <c r="I142" s="6">
        <v>-1.04586943471892E-2</v>
      </c>
      <c r="J142" t="s">
        <v>31</v>
      </c>
    </row>
    <row r="143" spans="1:10" x14ac:dyDescent="0.25">
      <c r="A143" s="1">
        <v>46084.645833333343</v>
      </c>
      <c r="B143" s="7">
        <v>392.54000854492188</v>
      </c>
      <c r="C143" s="7">
        <v>393.55999755859381</v>
      </c>
      <c r="D143" s="7">
        <v>385.39999389648438</v>
      </c>
      <c r="E143" s="7">
        <v>386.69000244140619</v>
      </c>
      <c r="F143">
        <v>12190306</v>
      </c>
      <c r="G143" s="7">
        <v>396.94099731445311</v>
      </c>
      <c r="H143" t="s">
        <v>11</v>
      </c>
      <c r="I143" s="6">
        <v>9.0946307825149203E-3</v>
      </c>
      <c r="J143" t="s">
        <v>31</v>
      </c>
    </row>
    <row r="144" spans="1:10" x14ac:dyDescent="0.25">
      <c r="A144" s="1">
        <v>46084.6875</v>
      </c>
      <c r="B144" s="7">
        <v>392</v>
      </c>
      <c r="C144" s="7">
        <v>393.54998779296881</v>
      </c>
      <c r="D144" s="7">
        <v>389.8599853515625</v>
      </c>
      <c r="E144" s="7">
        <v>392.52999877929688</v>
      </c>
      <c r="F144">
        <v>6657822</v>
      </c>
      <c r="G144" s="7">
        <v>394.81099853515627</v>
      </c>
      <c r="H144" t="s">
        <v>11</v>
      </c>
      <c r="I144" s="6">
        <v>1.314300129453385E-2</v>
      </c>
      <c r="J144" t="s">
        <v>31</v>
      </c>
    </row>
    <row r="145" spans="1:10" x14ac:dyDescent="0.25">
      <c r="A145" s="1">
        <v>46084.729166666657</v>
      </c>
      <c r="B145" s="7">
        <v>393.29000854492188</v>
      </c>
      <c r="C145" s="7">
        <v>393.92001342773438</v>
      </c>
      <c r="D145" s="7">
        <v>389.07998657226563</v>
      </c>
      <c r="E145" s="7">
        <v>391.95999145507813</v>
      </c>
      <c r="F145">
        <v>5541323</v>
      </c>
      <c r="G145" s="7">
        <v>393.5570007324219</v>
      </c>
      <c r="H145" t="s">
        <v>11</v>
      </c>
      <c r="I145" s="6">
        <v>1.9715910282520809E-2</v>
      </c>
      <c r="J145" t="s">
        <v>31</v>
      </c>
    </row>
    <row r="146" spans="1:10" x14ac:dyDescent="0.25">
      <c r="A146" s="1">
        <v>46084.770833333343</v>
      </c>
      <c r="B146" s="7">
        <v>391.635009765625</v>
      </c>
      <c r="C146" s="7">
        <v>394.76998901367188</v>
      </c>
      <c r="D146" s="7">
        <v>391</v>
      </c>
      <c r="E146" s="7">
        <v>393.29998779296881</v>
      </c>
      <c r="F146">
        <v>5557143</v>
      </c>
      <c r="G146" s="7">
        <v>391.23700561523441</v>
      </c>
      <c r="H146" t="s">
        <v>10</v>
      </c>
      <c r="I146" s="6">
        <v>2.144622121545699E-2</v>
      </c>
      <c r="J146" t="s">
        <v>31</v>
      </c>
    </row>
    <row r="147" spans="1:10" x14ac:dyDescent="0.25">
      <c r="A147" s="1">
        <v>46084.8125</v>
      </c>
      <c r="B147" s="7">
        <v>392.54998779296881</v>
      </c>
      <c r="C147" s="7">
        <v>394.70001220703119</v>
      </c>
      <c r="D147" s="7">
        <v>391.23001098632813</v>
      </c>
      <c r="E147" s="7">
        <v>391.67001342773438</v>
      </c>
      <c r="F147">
        <v>5268077</v>
      </c>
      <c r="G147" s="7">
        <v>392.40300292968749</v>
      </c>
      <c r="H147" t="s">
        <v>10</v>
      </c>
      <c r="I147" s="6">
        <v>2.0790383975262141E-2</v>
      </c>
      <c r="J147" t="s">
        <v>31</v>
      </c>
    </row>
    <row r="148" spans="1:10" x14ac:dyDescent="0.25">
      <c r="A148" s="1">
        <v>46084.854166666657</v>
      </c>
      <c r="B148" s="7">
        <v>392.35000610351563</v>
      </c>
      <c r="C148" s="7">
        <v>393.5</v>
      </c>
      <c r="D148" s="7">
        <v>391.67001342773438</v>
      </c>
      <c r="E148" s="7">
        <v>392.54010009765619</v>
      </c>
      <c r="F148">
        <v>5308335</v>
      </c>
      <c r="G148" s="7">
        <v>392.36500244140632</v>
      </c>
      <c r="H148" t="s">
        <v>10</v>
      </c>
      <c r="I148" s="6">
        <v>2.0369162881715631E-2</v>
      </c>
      <c r="J148" t="s">
        <v>31</v>
      </c>
    </row>
    <row r="149" spans="1:10" x14ac:dyDescent="0.25">
      <c r="A149" s="1">
        <v>46085.604166666657</v>
      </c>
      <c r="B149" s="7">
        <v>407.67001342773438</v>
      </c>
      <c r="C149" s="7">
        <v>407.85238647460938</v>
      </c>
      <c r="D149" s="7">
        <v>394.58999633789063</v>
      </c>
      <c r="E149" s="7">
        <v>397.84500122070313</v>
      </c>
      <c r="F149">
        <v>20741277</v>
      </c>
      <c r="G149" s="7">
        <v>395.49900512695308</v>
      </c>
      <c r="H149" t="s">
        <v>12</v>
      </c>
      <c r="I149" s="6">
        <v>5.1810002623411261E-2</v>
      </c>
      <c r="J149" t="s">
        <v>31</v>
      </c>
    </row>
    <row r="150" spans="1:10" x14ac:dyDescent="0.25">
      <c r="A150" s="1">
        <v>46085.645833333343</v>
      </c>
      <c r="B150" s="7">
        <v>404.19500732421881</v>
      </c>
      <c r="C150" s="7">
        <v>407.79000854492188</v>
      </c>
      <c r="D150" s="7">
        <v>401.42999267578119</v>
      </c>
      <c r="E150" s="7">
        <v>407.67001342773438</v>
      </c>
      <c r="F150">
        <v>10733226</v>
      </c>
      <c r="G150" s="7">
        <v>397.68000488281251</v>
      </c>
      <c r="H150" t="s">
        <v>12</v>
      </c>
      <c r="I150" s="6">
        <v>3.7125025046836548E-2</v>
      </c>
      <c r="J150" t="s">
        <v>31</v>
      </c>
    </row>
    <row r="151" spans="1:10" x14ac:dyDescent="0.25">
      <c r="A151" s="1">
        <v>46085.6875</v>
      </c>
      <c r="B151" s="7">
        <v>404.8599853515625</v>
      </c>
      <c r="C151" s="7">
        <v>407.14999389648438</v>
      </c>
      <c r="D151" s="7">
        <v>403.8800048828125</v>
      </c>
      <c r="E151" s="7">
        <v>404.17999267578119</v>
      </c>
      <c r="F151">
        <v>7361876</v>
      </c>
      <c r="G151" s="7">
        <v>400.32499999999999</v>
      </c>
      <c r="H151" t="s">
        <v>12</v>
      </c>
      <c r="I151" s="6">
        <v>3.1967611396257187E-2</v>
      </c>
      <c r="J151" t="s">
        <v>31</v>
      </c>
    </row>
    <row r="152" spans="1:10" x14ac:dyDescent="0.25">
      <c r="A152" s="1">
        <v>46085.729166666657</v>
      </c>
      <c r="B152" s="7">
        <v>403.77999877929688</v>
      </c>
      <c r="C152" s="7">
        <v>405.04000854492188</v>
      </c>
      <c r="D152" s="7">
        <v>403.27999877929688</v>
      </c>
      <c r="E152" s="7">
        <v>404.864990234375</v>
      </c>
      <c r="F152">
        <v>6209136</v>
      </c>
      <c r="G152" s="7">
        <v>402.57100219726561</v>
      </c>
      <c r="H152" t="s">
        <v>10</v>
      </c>
      <c r="I152" s="6">
        <v>2.3472641270257E-2</v>
      </c>
      <c r="J152" t="s">
        <v>31</v>
      </c>
    </row>
    <row r="153" spans="1:10" x14ac:dyDescent="0.25">
      <c r="A153" s="1">
        <v>46085.770833333343</v>
      </c>
      <c r="B153" s="7">
        <v>406.32501220703119</v>
      </c>
      <c r="C153" s="7">
        <v>406.83999633789063</v>
      </c>
      <c r="D153" s="7">
        <v>403.72000122070313</v>
      </c>
      <c r="E153" s="7">
        <v>403.77999877929688</v>
      </c>
      <c r="F153">
        <v>5290009</v>
      </c>
      <c r="G153" s="7">
        <v>405.36600341796873</v>
      </c>
      <c r="H153" t="s">
        <v>10</v>
      </c>
      <c r="I153" s="6">
        <v>2.282222953813462E-2</v>
      </c>
      <c r="J153" t="s">
        <v>31</v>
      </c>
    </row>
    <row r="154" spans="1:10" x14ac:dyDescent="0.25">
      <c r="A154" s="1">
        <v>46085.8125</v>
      </c>
      <c r="B154" s="7">
        <v>406.95001220703119</v>
      </c>
      <c r="C154" s="7">
        <v>407.3800048828125</v>
      </c>
      <c r="D154" s="7">
        <v>404.85000610351563</v>
      </c>
      <c r="E154" s="7">
        <v>406.32998657226563</v>
      </c>
      <c r="F154">
        <v>5657840</v>
      </c>
      <c r="G154" s="7">
        <v>405.22200317382811</v>
      </c>
      <c r="H154" t="s">
        <v>10</v>
      </c>
      <c r="I154" s="6">
        <v>2.4759542286845241E-2</v>
      </c>
      <c r="J154" t="s">
        <v>31</v>
      </c>
    </row>
    <row r="155" spans="1:10" x14ac:dyDescent="0.25">
      <c r="A155" s="1">
        <v>46085.854166666657</v>
      </c>
      <c r="B155" s="7">
        <v>406.07000732421881</v>
      </c>
      <c r="C155" s="7">
        <v>408.32998657226563</v>
      </c>
      <c r="D155" s="7">
        <v>404.75</v>
      </c>
      <c r="E155" s="7">
        <v>406.95001220703119</v>
      </c>
      <c r="F155">
        <v>6921220</v>
      </c>
      <c r="G155" s="7">
        <v>405.59700317382811</v>
      </c>
      <c r="H155" t="s">
        <v>10</v>
      </c>
      <c r="I155" s="6">
        <v>2.159815552989432E-2</v>
      </c>
      <c r="J155" t="s">
        <v>31</v>
      </c>
    </row>
    <row r="156" spans="1:10" x14ac:dyDescent="0.25">
      <c r="A156" s="1">
        <v>46086.604166666657</v>
      </c>
      <c r="B156" s="7">
        <v>403.6400146484375</v>
      </c>
      <c r="C156" s="7">
        <v>407.3800048828125</v>
      </c>
      <c r="D156" s="7">
        <v>400.29998779296881</v>
      </c>
      <c r="E156" s="7">
        <v>401.57000732421881</v>
      </c>
      <c r="F156">
        <v>12709534</v>
      </c>
      <c r="G156" s="7">
        <v>405.35300903320308</v>
      </c>
      <c r="H156" t="s">
        <v>11</v>
      </c>
      <c r="I156" s="6">
        <v>1.6095987421314031E-2</v>
      </c>
      <c r="J156" t="s">
        <v>31</v>
      </c>
    </row>
    <row r="157" spans="1:10" x14ac:dyDescent="0.25">
      <c r="A157" s="1">
        <v>46086.645833333343</v>
      </c>
      <c r="B157" s="7">
        <v>405.41531372070313</v>
      </c>
      <c r="C157" s="7">
        <v>407.05999755859381</v>
      </c>
      <c r="D157" s="7">
        <v>401.76998901367188</v>
      </c>
      <c r="E157" s="7">
        <v>403.67001342773438</v>
      </c>
      <c r="F157">
        <v>8003266</v>
      </c>
      <c r="G157" s="7">
        <v>405.68007202148442</v>
      </c>
      <c r="H157" t="s">
        <v>11</v>
      </c>
      <c r="I157" s="6">
        <v>1.974221600774622E-2</v>
      </c>
      <c r="J157" t="s">
        <v>31</v>
      </c>
    </row>
    <row r="158" spans="1:10" x14ac:dyDescent="0.25">
      <c r="A158" s="1">
        <v>46086.6875</v>
      </c>
      <c r="B158" s="7">
        <v>403.15008544921881</v>
      </c>
      <c r="C158" s="7">
        <v>408.61990356445313</v>
      </c>
      <c r="D158" s="7">
        <v>403.04998779296881</v>
      </c>
      <c r="E158" s="7">
        <v>405.45999145507813</v>
      </c>
      <c r="F158">
        <v>6229475</v>
      </c>
      <c r="G158" s="7">
        <v>405.04508666992189</v>
      </c>
      <c r="H158" t="s">
        <v>11</v>
      </c>
      <c r="I158" s="6">
        <v>1.5634189259348241E-2</v>
      </c>
      <c r="J158" t="s">
        <v>31</v>
      </c>
    </row>
    <row r="159" spans="1:10" x14ac:dyDescent="0.25">
      <c r="A159" s="1">
        <v>46086.729166666657</v>
      </c>
      <c r="B159" s="7">
        <v>399.73001098632813</v>
      </c>
      <c r="C159" s="7">
        <v>403.42999267578119</v>
      </c>
      <c r="D159" s="7">
        <v>399.42001342773438</v>
      </c>
      <c r="E159" s="7">
        <v>403.17001342773438</v>
      </c>
      <c r="F159">
        <v>6761936</v>
      </c>
      <c r="G159" s="7">
        <v>403.60108642578132</v>
      </c>
      <c r="H159" t="s">
        <v>11</v>
      </c>
      <c r="I159" s="6">
        <v>1.062108113920234E-2</v>
      </c>
      <c r="J159" t="s">
        <v>31</v>
      </c>
    </row>
    <row r="160" spans="1:10" x14ac:dyDescent="0.25">
      <c r="A160" s="1">
        <v>46086.770833333343</v>
      </c>
      <c r="B160" s="7">
        <v>401.75</v>
      </c>
      <c r="C160" s="7">
        <v>402.77999877929688</v>
      </c>
      <c r="D160" s="7">
        <v>399.55999755859381</v>
      </c>
      <c r="E160" s="7">
        <v>399.70001220703119</v>
      </c>
      <c r="F160">
        <v>4565821</v>
      </c>
      <c r="G160" s="7">
        <v>402.73708496093752</v>
      </c>
      <c r="H160" t="s">
        <v>11</v>
      </c>
      <c r="I160" s="6">
        <v>1.7907202738974799E-2</v>
      </c>
      <c r="J160" t="s">
        <v>31</v>
      </c>
    </row>
    <row r="161" spans="1:10" x14ac:dyDescent="0.25">
      <c r="A161" s="1">
        <v>46086.8125</v>
      </c>
      <c r="B161" s="7">
        <v>402.79000854492188</v>
      </c>
      <c r="C161" s="7">
        <v>404.3800048828125</v>
      </c>
      <c r="D161" s="7">
        <v>399.760009765625</v>
      </c>
      <c r="E161" s="7">
        <v>401.70001220703119</v>
      </c>
      <c r="F161">
        <v>5510901</v>
      </c>
      <c r="G161" s="7">
        <v>402.56708374023441</v>
      </c>
      <c r="H161" t="s">
        <v>10</v>
      </c>
      <c r="I161" s="6">
        <v>2.097322260494219E-2</v>
      </c>
      <c r="J161" t="s">
        <v>31</v>
      </c>
    </row>
    <row r="162" spans="1:10" x14ac:dyDescent="0.25">
      <c r="A162" s="1">
        <v>46086.854166666657</v>
      </c>
      <c r="B162" s="7">
        <v>405.40130615234381</v>
      </c>
      <c r="C162" s="7">
        <v>405.8900146484375</v>
      </c>
      <c r="D162" s="7">
        <v>402.57000732421881</v>
      </c>
      <c r="E162" s="7">
        <v>402.76998901367188</v>
      </c>
      <c r="F162">
        <v>4836899</v>
      </c>
      <c r="G162" s="7">
        <v>402.56428222656251</v>
      </c>
      <c r="H162" t="s">
        <v>10</v>
      </c>
      <c r="I162" s="6">
        <v>2.7599368499000781E-2</v>
      </c>
      <c r="J162" t="s">
        <v>31</v>
      </c>
    </row>
    <row r="163" spans="1:10" x14ac:dyDescent="0.25">
      <c r="A163" s="1">
        <v>46087.604166666657</v>
      </c>
      <c r="B163" s="7">
        <v>397.30999755859381</v>
      </c>
      <c r="C163" s="7">
        <v>398.5</v>
      </c>
      <c r="D163" s="7">
        <v>394.22000122070313</v>
      </c>
      <c r="E163" s="7">
        <v>398.18499755859381</v>
      </c>
      <c r="F163">
        <v>16938293</v>
      </c>
      <c r="G163" s="7">
        <v>401.39626464843752</v>
      </c>
      <c r="H163" t="s">
        <v>11</v>
      </c>
      <c r="I163" s="6">
        <v>1.002027313530965E-2</v>
      </c>
      <c r="J163" t="s">
        <v>31</v>
      </c>
    </row>
    <row r="164" spans="1:10" x14ac:dyDescent="0.25">
      <c r="A164" s="1">
        <v>46087.645833333343</v>
      </c>
      <c r="B164" s="7">
        <v>399.6199951171875</v>
      </c>
      <c r="C164" s="7">
        <v>399.95498657226563</v>
      </c>
      <c r="D164" s="7">
        <v>395.41000366210938</v>
      </c>
      <c r="E164" s="7">
        <v>397.26998901367188</v>
      </c>
      <c r="F164">
        <v>10989461</v>
      </c>
      <c r="G164" s="7">
        <v>401.3742614746094</v>
      </c>
      <c r="H164" t="s">
        <v>11</v>
      </c>
      <c r="I164" s="6">
        <v>1.5948316475234259E-2</v>
      </c>
      <c r="J164" t="s">
        <v>31</v>
      </c>
    </row>
    <row r="165" spans="1:10" x14ac:dyDescent="0.25">
      <c r="A165" s="1">
        <v>46087.6875</v>
      </c>
      <c r="B165" s="7">
        <v>398.8599853515625</v>
      </c>
      <c r="C165" s="7">
        <v>401.41000366210938</v>
      </c>
      <c r="D165" s="7">
        <v>397.71099853515619</v>
      </c>
      <c r="E165" s="7">
        <v>399.6300048828125</v>
      </c>
      <c r="F165">
        <v>8265638</v>
      </c>
      <c r="G165" s="7">
        <v>400.7962585449219</v>
      </c>
      <c r="H165" t="s">
        <v>11</v>
      </c>
      <c r="I165" s="6">
        <v>1.547850404146826E-2</v>
      </c>
      <c r="J165" t="s">
        <v>31</v>
      </c>
    </row>
    <row r="166" spans="1:10" x14ac:dyDescent="0.25">
      <c r="A166" s="1">
        <v>46087.729166666657</v>
      </c>
      <c r="B166" s="7">
        <v>401.17001342773438</v>
      </c>
      <c r="C166" s="7">
        <v>402.35000610351563</v>
      </c>
      <c r="D166" s="7">
        <v>397.14999389648438</v>
      </c>
      <c r="E166" s="7">
        <v>398.91000366210938</v>
      </c>
      <c r="F166">
        <v>6641166</v>
      </c>
      <c r="G166" s="7">
        <v>400.47225952148438</v>
      </c>
      <c r="H166" t="s">
        <v>10</v>
      </c>
      <c r="I166" s="6">
        <v>2.218604866175905E-2</v>
      </c>
      <c r="J166" t="s">
        <v>31</v>
      </c>
    </row>
    <row r="167" spans="1:10" x14ac:dyDescent="0.25">
      <c r="A167" s="1">
        <v>46087.770833333343</v>
      </c>
      <c r="B167" s="7">
        <v>399.30999755859381</v>
      </c>
      <c r="C167" s="7">
        <v>401.75</v>
      </c>
      <c r="D167" s="7">
        <v>398.29998779296881</v>
      </c>
      <c r="E167" s="7">
        <v>401.16500854492188</v>
      </c>
      <c r="F167">
        <v>5725425</v>
      </c>
      <c r="G167" s="7">
        <v>399.25399780273438</v>
      </c>
      <c r="H167" t="s">
        <v>10</v>
      </c>
      <c r="I167" s="6">
        <v>2.0551286711368629E-2</v>
      </c>
      <c r="J167" t="s">
        <v>31</v>
      </c>
    </row>
    <row r="168" spans="1:10" x14ac:dyDescent="0.25">
      <c r="A168" s="1">
        <v>46087.8125</v>
      </c>
      <c r="B168" s="7">
        <v>396.72000122070313</v>
      </c>
      <c r="C168" s="7">
        <v>400.82998657226563</v>
      </c>
      <c r="D168" s="7">
        <v>396.5</v>
      </c>
      <c r="E168" s="7">
        <v>399.30999755859381</v>
      </c>
      <c r="F168">
        <v>5982618</v>
      </c>
      <c r="G168" s="7">
        <v>399.13599853515632</v>
      </c>
      <c r="H168" t="s">
        <v>11</v>
      </c>
      <c r="I168" s="6">
        <v>1.4231563331592411E-2</v>
      </c>
      <c r="J168" t="s">
        <v>31</v>
      </c>
    </row>
    <row r="169" spans="1:10" x14ac:dyDescent="0.25">
      <c r="A169" s="1">
        <v>46087.854166666657</v>
      </c>
      <c r="B169" s="7">
        <v>396.55999755859381</v>
      </c>
      <c r="C169" s="7">
        <v>398.20001220703119</v>
      </c>
      <c r="D169" s="7">
        <v>396.20001220703119</v>
      </c>
      <c r="E169" s="7">
        <v>396.73001098632813</v>
      </c>
      <c r="F169">
        <v>5246449</v>
      </c>
      <c r="G169" s="7">
        <v>398.52399902343751</v>
      </c>
      <c r="H169" t="s">
        <v>11</v>
      </c>
      <c r="I169" s="6">
        <v>1.5379399295501381E-2</v>
      </c>
      <c r="J169" t="s">
        <v>31</v>
      </c>
    </row>
  </sheetData>
  <phoneticPr fontId="7" type="noConversion"/>
  <conditionalFormatting sqref="H1:H169">
    <cfRule type="containsText" dxfId="5" priority="5" operator="containsText" text="Moderate">
      <formula>NOT(ISERROR(SEARCH("Moderate",H1)))</formula>
    </cfRule>
    <cfRule type="containsText" dxfId="4" priority="6" operator="containsText" text="low">
      <formula>NOT(ISERROR(SEARCH("low",H1)))</formula>
    </cfRule>
    <cfRule type="containsText" dxfId="3" priority="7" operator="containsText" text="High ">
      <formula>NOT(ISERROR(SEARCH("High ",H1)))</formula>
    </cfRule>
  </conditionalFormatting>
  <conditionalFormatting sqref="H135:H169">
    <cfRule type="containsText" dxfId="2" priority="1" operator="containsText" text="moderate">
      <formula>NOT(ISERROR(SEARCH("moderate",H135)))</formula>
    </cfRule>
    <cfRule type="containsText" dxfId="1" priority="2" operator="containsText" text="low">
      <formula>NOT(ISERROR(SEARCH("low",H135)))</formula>
    </cfRule>
    <cfRule type="containsText" dxfId="0" priority="3" operator="containsText" text="high">
      <formula>NOT(ISERROR(SEARCH("high",H135)))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2396-D379-4216-A1A2-2874BB027928}">
  <dimension ref="A3:D8"/>
  <sheetViews>
    <sheetView workbookViewId="0">
      <selection activeCell="A6" sqref="A6:D6"/>
      <pivotSelection pane="bottomRight" showHeader="1" extendable="1" axis="axisRow" start="1" max="4" activeRow="5" previousRow="5" click="1" r:id="rId1">
        <pivotArea dataOnly="0" fieldPosition="0">
          <references count="1">
            <reference field="7" count="1">
              <x v="2"/>
            </reference>
          </references>
        </pivotArea>
      </pivotSelection>
    </sheetView>
  </sheetViews>
  <sheetFormatPr defaultRowHeight="13.5" x14ac:dyDescent="0.25"/>
  <cols>
    <col min="1" max="1" width="18.5" bestFit="1" customWidth="1"/>
    <col min="2" max="2" width="16.08203125" bestFit="1" customWidth="1"/>
    <col min="3" max="3" width="7.83203125" bestFit="1" customWidth="1"/>
    <col min="4" max="4" width="11.08203125" bestFit="1" customWidth="1"/>
    <col min="5" max="5" width="10.6640625" customWidth="1"/>
    <col min="6" max="6" width="9.83203125" bestFit="1" customWidth="1"/>
  </cols>
  <sheetData>
    <row r="3" spans="1:4" x14ac:dyDescent="0.25">
      <c r="A3" s="8" t="s">
        <v>28</v>
      </c>
      <c r="B3" s="8" t="s">
        <v>32</v>
      </c>
    </row>
    <row r="4" spans="1:4" x14ac:dyDescent="0.25">
      <c r="A4" s="8" t="s">
        <v>15</v>
      </c>
      <c r="B4" t="s">
        <v>30</v>
      </c>
      <c r="C4" t="s">
        <v>31</v>
      </c>
      <c r="D4" t="s">
        <v>16</v>
      </c>
    </row>
    <row r="5" spans="1:4" x14ac:dyDescent="0.25">
      <c r="A5" s="9" t="s">
        <v>11</v>
      </c>
      <c r="B5" s="12">
        <v>0.4263565891472868</v>
      </c>
      <c r="C5" s="12">
        <v>0.4838709677419355</v>
      </c>
      <c r="D5" s="12">
        <v>0.4375</v>
      </c>
    </row>
    <row r="6" spans="1:4" x14ac:dyDescent="0.25">
      <c r="A6" s="9" t="s">
        <v>12</v>
      </c>
      <c r="B6" s="12">
        <v>4.6511627906976744E-2</v>
      </c>
      <c r="C6" s="12">
        <v>9.6774193548387094E-2</v>
      </c>
      <c r="D6" s="12">
        <v>5.6250000000000001E-2</v>
      </c>
    </row>
    <row r="7" spans="1:4" x14ac:dyDescent="0.25">
      <c r="A7" s="9" t="s">
        <v>10</v>
      </c>
      <c r="B7" s="12">
        <v>0.52713178294573648</v>
      </c>
      <c r="C7" s="12">
        <v>0.41935483870967744</v>
      </c>
      <c r="D7" s="12">
        <v>0.50624999999999998</v>
      </c>
    </row>
    <row r="8" spans="1:4" x14ac:dyDescent="0.25">
      <c r="A8" s="9" t="s">
        <v>16</v>
      </c>
      <c r="B8" s="12">
        <v>1</v>
      </c>
      <c r="C8" s="12">
        <v>1</v>
      </c>
      <c r="D8" s="1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3526-9684-47A1-BE36-A14F75E2B4AE}">
  <dimension ref="B7:K18"/>
  <sheetViews>
    <sheetView showGridLines="0" topLeftCell="A52" zoomScale="90" zoomScaleNormal="90" workbookViewId="0">
      <selection activeCell="E8" sqref="E8:F8"/>
      <extLst>
        <ext xmlns:xlsdti="http://schemas.microsoft.com/office/spreadsheetml/2023/showDataTypeIcons" uri="{77bfe23e-c014-4d31-8a63-9c772dbf06b6}">
          <xlsdti:showDataTypeIcons visible="0"/>
        </ext>
      </extLst>
    </sheetView>
  </sheetViews>
  <sheetFormatPr defaultRowHeight="13.5" x14ac:dyDescent="0.25"/>
  <cols>
    <col min="2" max="3" width="19.33203125" customWidth="1"/>
    <col min="4" max="4" width="16" customWidth="1"/>
    <col min="5" max="5" width="22.6640625" customWidth="1"/>
    <col min="9" max="9" width="15.6640625" customWidth="1"/>
    <col min="10" max="10" width="21.25" customWidth="1"/>
  </cols>
  <sheetData>
    <row r="7" spans="2:11" ht="24.5" x14ac:dyDescent="0.45">
      <c r="B7" s="14"/>
      <c r="C7" s="14"/>
      <c r="E7" s="16"/>
      <c r="F7" s="16"/>
      <c r="G7" s="16"/>
      <c r="H7" s="16"/>
    </row>
    <row r="8" spans="2:11" ht="18" x14ac:dyDescent="0.35">
      <c r="E8" s="19"/>
      <c r="F8" s="19"/>
      <c r="G8" s="18"/>
      <c r="H8" s="18"/>
    </row>
    <row r="9" spans="2:11" ht="18" x14ac:dyDescent="0.35">
      <c r="E9" s="4"/>
      <c r="F9" s="4"/>
      <c r="G9" s="3"/>
      <c r="H9" s="3"/>
    </row>
    <row r="10" spans="2:11" ht="18" x14ac:dyDescent="0.35">
      <c r="E10" s="4"/>
      <c r="F10" s="4"/>
      <c r="G10" s="3"/>
      <c r="H10" s="3"/>
    </row>
    <row r="11" spans="2:11" ht="18" x14ac:dyDescent="0.35">
      <c r="E11" s="4"/>
      <c r="F11" s="4"/>
      <c r="G11" s="3"/>
      <c r="H11" s="3"/>
    </row>
    <row r="12" spans="2:11" ht="18" x14ac:dyDescent="0.35">
      <c r="E12" s="4"/>
      <c r="F12" s="4"/>
      <c r="G12" s="3"/>
      <c r="H12" s="3"/>
    </row>
    <row r="13" spans="2:11" ht="63" customHeight="1" x14ac:dyDescent="0.3">
      <c r="G13" s="5"/>
    </row>
    <row r="15" spans="2:11" x14ac:dyDescent="0.25">
      <c r="B15" s="10"/>
    </row>
    <row r="16" spans="2:11" ht="17.5" x14ac:dyDescent="0.35">
      <c r="E16" s="11"/>
      <c r="J16" s="16"/>
      <c r="K16" s="16"/>
    </row>
    <row r="17" spans="5:11" ht="18" x14ac:dyDescent="0.35">
      <c r="E17" s="11"/>
      <c r="J17" s="17"/>
      <c r="K17" s="17"/>
    </row>
    <row r="18" spans="5:11" x14ac:dyDescent="0.25">
      <c r="E18" s="11"/>
      <c r="J18" s="15"/>
      <c r="K18" s="15"/>
    </row>
  </sheetData>
  <mergeCells count="8">
    <mergeCell ref="B7:C7"/>
    <mergeCell ref="J18:K18"/>
    <mergeCell ref="J16:K16"/>
    <mergeCell ref="J17:K17"/>
    <mergeCell ref="G7:H7"/>
    <mergeCell ref="G8:H8"/>
    <mergeCell ref="E7:F7"/>
    <mergeCell ref="E8:F8"/>
  </mergeCells>
  <conditionalFormatting sqref="C15:D18">
    <cfRule type="dataBar" priority="5">
      <dataBar>
        <cfvo type="min"/>
        <cfvo type="max"/>
        <color rgb="FF63C384"/>
      </dataBar>
      <extLst>
        <ext xmlns:x14="http://schemas.microsoft.com/office/spreadsheetml/2009/9/main" uri="{B025F937-C7B1-47D3-B67F-A62EFF666E3E}">
          <x14:id>{C51F7279-9D53-4BDB-AFBE-584941B2C0F3}</x14:id>
        </ext>
      </extLst>
    </cfRule>
  </conditionalFormatting>
  <conditionalFormatting sqref="E16:E18">
    <cfRule type="dataBar" priority="4">
      <dataBar>
        <cfvo type="min"/>
        <cfvo type="max"/>
        <color rgb="FFFF555A"/>
      </dataBar>
      <extLst>
        <ext xmlns:x14="http://schemas.microsoft.com/office/spreadsheetml/2009/9/main" uri="{B025F937-C7B1-47D3-B67F-A62EFF666E3E}">
          <x14:id>{D928EE9C-5C92-49F5-87C9-2ECA4527AD8D}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51F7279-9D53-4BDB-AFBE-584941B2C0F3}">
            <x14:dataBar minLength="0" maxLength="100" border="1" negativeBarBorderColorSameAsPositive="0">
              <x14:cfvo type="autoMin"/>
              <x14:cfvo type="autoMax"/>
              <x14:borderColor rgb="FF63C384"/>
              <x14:negativeFillColor rgb="FFFF0000"/>
              <x14:negativeBorderColor rgb="FFFF0000"/>
              <x14:axisColor rgb="FF000000"/>
            </x14:dataBar>
          </x14:cfRule>
          <xm:sqref>C15:D18</xm:sqref>
        </x14:conditionalFormatting>
        <x14:conditionalFormatting xmlns:xm="http://schemas.microsoft.com/office/excel/2006/main">
          <x14:cfRule type="dataBar" id="{D928EE9C-5C92-49F5-87C9-2ECA4527AD8D}">
            <x14:dataBar minLength="0" maxLength="100" border="1" negativeBarBorderColorSameAsPositive="0">
              <x14:cfvo type="autoMin"/>
              <x14:cfvo type="autoMax"/>
              <x14:borderColor rgb="FFFF555A"/>
              <x14:negativeFillColor rgb="FFFF0000"/>
              <x14:negativeBorderColor rgb="FFFF0000"/>
              <x14:axisColor rgb="FF000000"/>
            </x14:dataBar>
          </x14:cfRule>
          <xm:sqref>E16:E18</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30-day data</vt:lpstr>
      <vt:lpstr>fiveday data </vt:lpstr>
      <vt:lpstr>5-day_data_analysis</vt:lpstr>
      <vt:lpstr>Master_data</vt:lpstr>
      <vt:lpstr>Master_data_analysis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Oceana O'Dean</cp:lastModifiedBy>
  <dcterms:created xsi:type="dcterms:W3CDTF">2026-03-07T14:43:53Z</dcterms:created>
  <dcterms:modified xsi:type="dcterms:W3CDTF">2026-03-19T20:56:02Z</dcterms:modified>
</cp:coreProperties>
</file>